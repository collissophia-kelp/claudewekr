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kelpblue-my.sharepoint.com/personal/david_benattar_kelp_blue/Documents/"/>
    </mc:Choice>
  </mc:AlternateContent>
  <xr:revisionPtr revIDLastSave="0" documentId="8_{767FC273-1131-41B0-BC57-018AF801BFB1}" xr6:coauthVersionLast="47" xr6:coauthVersionMax="47" xr10:uidLastSave="{00000000-0000-0000-0000-000000000000}"/>
  <bookViews>
    <workbookView xWindow="11860" yWindow="1120" windowWidth="27760" windowHeight="19000" tabRatio="500" xr2:uid="{00000000-000D-0000-FFFF-FFFF00000000}"/>
  </bookViews>
  <sheets>
    <sheet name="Target List" sheetId="15" r:id="rId1"/>
    <sheet name="Current Leads &amp; Contacts" sheetId="1" r:id="rId2"/>
    <sheet name="5 Ls" sheetId="2" r:id="rId3"/>
    <sheet name="Matrix - Top 50 companies" sheetId="3" r:id="rId4"/>
    <sheet name="Matrix - Top 51-100" sheetId="4" r:id="rId5"/>
    <sheet name="Matrix - Top 101-150" sheetId="5" r:id="rId6"/>
    <sheet name="Matrix - Refined list" sheetId="6" r:id="rId7"/>
    <sheet name="Scoring Guide" sheetId="8" r:id="rId8"/>
    <sheet name="Top 50 by Region" sheetId="9" r:id="rId9"/>
    <sheet name="Assumptions" sheetId="10" r:id="rId10"/>
    <sheet name="Lists" sheetId="11" r:id="rId11"/>
    <sheet name="Removed Companies" sheetId="12" r:id="rId12"/>
    <sheet name="Watch List" sheetId="13" r:id="rId13"/>
  </sheets>
  <definedNames>
    <definedName name="_xlnm._FilterDatabase" localSheetId="5" hidden="1">'Matrix - Top 101-150'!$A$4:$P$54</definedName>
    <definedName name="_xlnm._FilterDatabase" localSheetId="3" hidden="1">'Matrix - Top 50 companies'!$A$4:$P$55</definedName>
    <definedName name="_xlnm._FilterDatabase" localSheetId="4" hidden="1">'Matrix - Top 51-100'!$A$4:$P$54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5" l="1"/>
  <c r="G24" i="15"/>
  <c r="G27" i="15"/>
  <c r="G26" i="15"/>
  <c r="G25" i="15"/>
  <c r="G7" i="15"/>
  <c r="G82" i="15"/>
  <c r="G81" i="15"/>
  <c r="G79" i="15"/>
  <c r="G77" i="15"/>
  <c r="G76" i="15"/>
  <c r="G75" i="15"/>
  <c r="G74" i="15"/>
  <c r="G72" i="15"/>
  <c r="G71" i="15"/>
  <c r="G69" i="15"/>
  <c r="G68" i="15"/>
  <c r="G67" i="15"/>
  <c r="G66" i="15"/>
  <c r="G65" i="15"/>
  <c r="G64" i="15"/>
  <c r="G63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1" i="15"/>
  <c r="G30" i="15"/>
  <c r="G23" i="15"/>
  <c r="G22" i="15"/>
  <c r="G21" i="15"/>
  <c r="G20" i="15"/>
  <c r="G18" i="15"/>
  <c r="G17" i="15"/>
  <c r="G16" i="15"/>
  <c r="G15" i="15"/>
  <c r="B10" i="1"/>
  <c r="G2" i="13"/>
  <c r="F2" i="13"/>
  <c r="C2" i="13"/>
  <c r="G4" i="12"/>
  <c r="F4" i="12"/>
  <c r="C4" i="12"/>
  <c r="G3" i="12"/>
  <c r="F3" i="12"/>
  <c r="C3" i="12"/>
  <c r="G2" i="12"/>
  <c r="F2" i="12"/>
  <c r="C2" i="12"/>
  <c r="B11" i="10"/>
  <c r="M55" i="3"/>
  <c r="N55" i="3" s="1"/>
  <c r="C55" i="3"/>
  <c r="M54" i="3"/>
  <c r="N54" i="3" s="1"/>
  <c r="C54" i="3"/>
  <c r="M53" i="3"/>
  <c r="N53" i="3" s="1"/>
  <c r="C53" i="3"/>
  <c r="M52" i="3"/>
  <c r="N52" i="3" s="1"/>
  <c r="C52" i="3"/>
  <c r="M51" i="3"/>
  <c r="N51" i="3" s="1"/>
  <c r="C51" i="3"/>
  <c r="M50" i="3"/>
  <c r="N50" i="3" s="1"/>
  <c r="C50" i="3"/>
  <c r="M49" i="3"/>
  <c r="N49" i="3" s="1"/>
  <c r="C49" i="3"/>
  <c r="M48" i="3"/>
  <c r="N48" i="3" s="1"/>
  <c r="C48" i="3"/>
  <c r="M47" i="3"/>
  <c r="N47" i="3" s="1"/>
  <c r="C47" i="3"/>
  <c r="M46" i="3"/>
  <c r="N46" i="3" s="1"/>
  <c r="C46" i="3"/>
  <c r="M45" i="3"/>
  <c r="N45" i="3" s="1"/>
  <c r="C45" i="3"/>
  <c r="M44" i="3"/>
  <c r="N44" i="3" s="1"/>
  <c r="C44" i="3"/>
  <c r="M43" i="3"/>
  <c r="N43" i="3" s="1"/>
  <c r="C43" i="3"/>
  <c r="M42" i="3"/>
  <c r="N42" i="3" s="1"/>
  <c r="C42" i="3"/>
  <c r="M41" i="3"/>
  <c r="N41" i="3" s="1"/>
  <c r="C41" i="3"/>
  <c r="M40" i="3"/>
  <c r="N40" i="3" s="1"/>
  <c r="C40" i="3"/>
  <c r="M39" i="3"/>
  <c r="N39" i="3" s="1"/>
  <c r="C39" i="3"/>
  <c r="M38" i="3"/>
  <c r="N38" i="3" s="1"/>
  <c r="C38" i="3"/>
  <c r="M37" i="3"/>
  <c r="N37" i="3" s="1"/>
  <c r="C37" i="3"/>
  <c r="M36" i="3"/>
  <c r="N36" i="3" s="1"/>
  <c r="C36" i="3"/>
  <c r="M35" i="3"/>
  <c r="N35" i="3" s="1"/>
  <c r="C35" i="3"/>
  <c r="M34" i="3"/>
  <c r="N34" i="3" s="1"/>
  <c r="C34" i="3"/>
  <c r="M33" i="3"/>
  <c r="N33" i="3" s="1"/>
  <c r="C33" i="3"/>
  <c r="M32" i="3"/>
  <c r="N32" i="3" s="1"/>
  <c r="C32" i="3"/>
  <c r="M31" i="3"/>
  <c r="N31" i="3" s="1"/>
  <c r="C31" i="3"/>
  <c r="M30" i="3"/>
  <c r="N30" i="3" s="1"/>
  <c r="C30" i="3"/>
  <c r="M29" i="3"/>
  <c r="N29" i="3" s="1"/>
  <c r="C29" i="3"/>
  <c r="M28" i="3"/>
  <c r="N28" i="3" s="1"/>
  <c r="C28" i="3"/>
  <c r="M27" i="3"/>
  <c r="N27" i="3" s="1"/>
  <c r="C27" i="3"/>
  <c r="M26" i="3"/>
  <c r="N26" i="3" s="1"/>
  <c r="C26" i="3"/>
  <c r="M25" i="3"/>
  <c r="N25" i="3" s="1"/>
  <c r="C25" i="3"/>
  <c r="M24" i="3"/>
  <c r="N24" i="3" s="1"/>
  <c r="C24" i="3"/>
  <c r="M23" i="3"/>
  <c r="N23" i="3" s="1"/>
  <c r="C23" i="3"/>
  <c r="M22" i="3"/>
  <c r="N22" i="3" s="1"/>
  <c r="C22" i="3"/>
  <c r="M21" i="3"/>
  <c r="N21" i="3" s="1"/>
  <c r="C21" i="3"/>
  <c r="M20" i="3"/>
  <c r="N20" i="3" s="1"/>
  <c r="C20" i="3"/>
  <c r="M19" i="3"/>
  <c r="N19" i="3" s="1"/>
  <c r="C19" i="3"/>
  <c r="M18" i="3"/>
  <c r="N18" i="3" s="1"/>
  <c r="C18" i="3"/>
  <c r="M17" i="3"/>
  <c r="N17" i="3" s="1"/>
  <c r="C17" i="3"/>
  <c r="M16" i="3"/>
  <c r="N16" i="3" s="1"/>
  <c r="C16" i="3"/>
  <c r="M15" i="3"/>
  <c r="N15" i="3" s="1"/>
  <c r="C15" i="3"/>
  <c r="M14" i="3"/>
  <c r="N14" i="3" s="1"/>
  <c r="C14" i="3"/>
  <c r="M13" i="3"/>
  <c r="N13" i="3" s="1"/>
  <c r="C13" i="3"/>
  <c r="M12" i="3"/>
  <c r="N12" i="3" s="1"/>
  <c r="C12" i="3"/>
  <c r="M11" i="3"/>
  <c r="N11" i="3" s="1"/>
  <c r="C11" i="3"/>
  <c r="M10" i="3"/>
  <c r="N10" i="3" s="1"/>
  <c r="C10" i="3"/>
  <c r="M9" i="3"/>
  <c r="N9" i="3" s="1"/>
  <c r="C9" i="3"/>
  <c r="M8" i="3"/>
  <c r="N8" i="3" s="1"/>
  <c r="C8" i="3"/>
  <c r="M7" i="3"/>
  <c r="N7" i="3" s="1"/>
  <c r="C7" i="3"/>
  <c r="M6" i="3"/>
  <c r="N6" i="3" s="1"/>
  <c r="C6" i="3"/>
</calcChain>
</file>

<file path=xl/sharedStrings.xml><?xml version="1.0" encoding="utf-8"?>
<sst xmlns="http://schemas.openxmlformats.org/spreadsheetml/2006/main" count="2874" uniqueCount="1263">
  <si>
    <t>Stimblue+ Strategic Target List</t>
  </si>
  <si>
    <t>March 2026  |  Revenue model: Hectares × 80% Coverage × 2 L/app × 3 Applications/yr × €7.50/L</t>
  </si>
  <si>
    <t>Company</t>
  </si>
  <si>
    <t>HQ Country</t>
  </si>
  <si>
    <t>Business Type</t>
  </si>
  <si>
    <t>Main Focus Crops</t>
  </si>
  <si>
    <t>Food Company Matrix
Score</t>
  </si>
  <si>
    <t>Tier</t>
  </si>
  <si>
    <t>Year 4 Revenue
(€, projected)</t>
  </si>
  <si>
    <t>Hectares
Controlled</t>
  </si>
  <si>
    <t>Notes / Evidence</t>
  </si>
  <si>
    <t>L5 — Under Contract</t>
  </si>
  <si>
    <t>Year 4 includes a Year 1 low/no rev trial year</t>
  </si>
  <si>
    <t xml:space="preserve">    Latin America</t>
  </si>
  <si>
    <t>yellow highlight = &lt;300k</t>
  </si>
  <si>
    <t>BonAg</t>
  </si>
  <si>
    <t>Argentina</t>
  </si>
  <si>
    <t>Integrated crop producer</t>
  </si>
  <si>
    <t>Soybean, Corn, Citrus, Wheat</t>
  </si>
  <si>
    <t>— (not a food company)</t>
  </si>
  <si>
    <t>—</t>
  </si>
  <si>
    <t>MOU signed. Argentine market-opener. Diversified row crop and citrus operations. May provide access to farms of Cresud (to validate)</t>
  </si>
  <si>
    <t>L4 — Defining Contract</t>
  </si>
  <si>
    <t xml:space="preserve">    No companies at this stage currently</t>
  </si>
  <si>
    <t>L3 — Qualifying Opportunity</t>
  </si>
  <si>
    <t>Peruvian Market</t>
  </si>
  <si>
    <t>Peru</t>
  </si>
  <si>
    <t>Market-opener</t>
  </si>
  <si>
    <t>Table Grapes</t>
  </si>
  <si>
    <t>unknown</t>
  </si>
  <si>
    <t>NDA circulated, business case in progress. Technical Advisor contact. LatAM grape market-opener.</t>
  </si>
  <si>
    <t>L2 — Our Active Engagements</t>
  </si>
  <si>
    <t xml:space="preserve">    North America</t>
  </si>
  <si>
    <t>Dole plc</t>
  </si>
  <si>
    <t>Ireland</t>
  </si>
  <si>
    <t>Integrated produce company</t>
  </si>
  <si>
    <t>Bananas, Pineapples, Berries, Fresh Vegetables</t>
  </si>
  <si>
    <t>World's largest fresh produce company. 110,000 acres. $8.5B revenue. Source: Dole plc 2024 Annual Report.</t>
  </si>
  <si>
    <t>Driscoll's</t>
  </si>
  <si>
    <t>USA</t>
  </si>
  <si>
    <t>Berry producer/marketer</t>
  </si>
  <si>
    <t>Strawberries, Raspberries, Blueberries, Blackberries</t>
  </si>
  <si>
    <t>World's largest berry company. 900+ growers, 20+ countries. Source: Driscoll's company information.</t>
  </si>
  <si>
    <t>Fresh Del Monte Produce</t>
  </si>
  <si>
    <t>Integrated fresh produce</t>
  </si>
  <si>
    <t>Bananas, Pineapples, Melons, Vegetables</t>
  </si>
  <si>
    <t>Plantations in Costa Rica, Guatemala, Kenya, Philippines. Source: Fresh Del Monte Annual Report.</t>
  </si>
  <si>
    <t>PepsiCo</t>
  </si>
  <si>
    <t>Global food &amp; beverage</t>
  </si>
  <si>
    <t>Potato, Corn, Citrus</t>
  </si>
  <si>
    <t>Pitch deck sent. Major buyer with strong contract farming programmes across multiple continents.</t>
  </si>
  <si>
    <t xml:space="preserve">    Western Europe</t>
  </si>
  <si>
    <t>Unifrutti Group</t>
  </si>
  <si>
    <t>Italy</t>
  </si>
  <si>
    <t>Bananas, Grapes, Apples, Citrus</t>
  </si>
  <si>
    <t>Pitch deck sent. Farms in Chile, Philippines, Ecuador, Turkey, Italy. Source: Unifrutti.</t>
  </si>
  <si>
    <t>Fyffes</t>
  </si>
  <si>
    <t>Bananas, Melons, Pineapples</t>
  </si>
  <si>
    <t>First message sent. Owned by Sumitomo. Farms in Central America. Source: Fyffes.</t>
  </si>
  <si>
    <t>BAT (British American Tobacco)</t>
  </si>
  <si>
    <t>UK</t>
  </si>
  <si>
    <t>Integrated tobacco producer</t>
  </si>
  <si>
    <t>Tobacco Leaf</t>
  </si>
  <si>
    <t>Pitch deck sent. ~90,000 ha contracted tobacco globally. Strong agronomic oversight.</t>
  </si>
  <si>
    <t>Philip Morris International</t>
  </si>
  <si>
    <t>Switzerland</t>
  </si>
  <si>
    <t>Outreach via David's network. ~200,000 ha contracted. Strong sustainability programmes.</t>
  </si>
  <si>
    <t>SLM Partners</t>
  </si>
  <si>
    <t>Regenerative farmland investment manager</t>
  </si>
  <si>
    <t>Organic Row Crops (US), Almonds, Walnuts, Olives (Iberia), Mixed Crops (Australia)</t>
  </si>
  <si>
    <t>$760m AUM. 300,000 ha total under management globally. Crop/perennial land: ~15,000 ha US Midwest organic row crops, ~3,000 ha Iberian nut/olive orchards, ~5,000 ha AU mixed cropland. Excludes ~200K ha AU rangeland and Irish forestry. Source: SLM Partners Impact Report 2024.</t>
  </si>
  <si>
    <t>Agrifirm</t>
  </si>
  <si>
    <t>Netherlands</t>
  </si>
  <si>
    <t>Agricultural cooperative</t>
  </si>
  <si>
    <t>Arable crops, Horticulture inputs</t>
  </si>
  <si>
    <t>10k addressable hectares. Note: already uses competing biostimulant. ~10,000 NL arable members.</t>
  </si>
  <si>
    <t>Associated British Foods</t>
  </si>
  <si>
    <t>Diversified food &amp; retail</t>
  </si>
  <si>
    <t>Sugar (Beet/Cane), Wheat</t>
  </si>
  <si>
    <t>Pitch deck sent. Illovo Sugar: 75K+ ha sugarcane across 6 African nations. British Sugar: 3,000+ UK growers. £17.3B group revenue. Source: ABF Annual Report 2025.</t>
  </si>
  <si>
    <t>Bakkerij Borgesius</t>
  </si>
  <si>
    <t>Industrial bakery</t>
  </si>
  <si>
    <t>Wheat (flour buyer)</t>
  </si>
  <si>
    <t>Valentin initial engagement — handed to Sophia. Dutch bakery (est. 1895), supplies 80%+ of NL households. No direct farmland — flour/wheat buyer. Limited Stimblue+ fit unless via grower supply chain.</t>
  </si>
  <si>
    <t>Ferrero Group</t>
  </si>
  <si>
    <t>Integrated confectionery / hazelnut producer</t>
  </si>
  <si>
    <t>Hazelnuts, Cocoa, Palm Oil, Sugar</t>
  </si>
  <si>
    <t>€18.4B group revenue (FY2024). Hazelnut Company owns agrifarms in Chile (~5,000 ha), Australia (~2,000 ha), Argentina, Georgia, Serbia. 7 processing plants. World's largest hazelnut buyer (~25% global supply). Source: Ferrero Key Figures / Hazelnut Charter 2024.</t>
  </si>
  <si>
    <t xml:space="preserve">    Oceania</t>
  </si>
  <si>
    <t>Zespri International</t>
  </si>
  <si>
    <t>New Zealand</t>
  </si>
  <si>
    <t>Kiwifruit marketer (cooperative)</t>
  </si>
  <si>
    <t>Kiwifruit (Green, Gold, Red)</t>
  </si>
  <si>
    <t>World's largest kiwifruit marketer. ~13,500 ha in NZ. Source: Zespri Annual Report 2024.</t>
  </si>
  <si>
    <t>T&amp;G Global</t>
  </si>
  <si>
    <t>Apples (Jazz, Envy), Tomatoes, Berries</t>
  </si>
  <si>
    <t>Reached out 02.03.2026. Proprietary apple varieties. Source: T&amp;G Global Annual Report.</t>
  </si>
  <si>
    <t xml:space="preserve">    Africa</t>
  </si>
  <si>
    <t>Nigerian Market</t>
  </si>
  <si>
    <t>Nigeria</t>
  </si>
  <si>
    <t>Diverse (tropical)</t>
  </si>
  <si>
    <t>Second call with Obi. West African market entry opportunity.</t>
  </si>
  <si>
    <t>L1 — Our Next Targets</t>
  </si>
  <si>
    <t>Wonderful Company</t>
  </si>
  <si>
    <t>Integrated nut/citrus producer</t>
  </si>
  <si>
    <t>Pistachios, Almonds, Pomegranates, Citrus, Mandarins</t>
  </si>
  <si>
    <t>~90,000 acres in CA. World's largest pistachio/almond grower. Source: Wonderful Orchards.</t>
  </si>
  <si>
    <t>Stemilt Growers</t>
  </si>
  <si>
    <t>Integrated tree fruit producer</t>
  </si>
  <si>
    <t>Apples, Cherries, Pears</t>
  </si>
  <si>
    <t>Major WA State tree fruit grower. Family-owned. Source: Stemilt company information.</t>
  </si>
  <si>
    <t>CMI Orchards</t>
  </si>
  <si>
    <t>Integrated apple producer</t>
  </si>
  <si>
    <t>Apples (Ambrosia, Kanzi, KIKU)</t>
  </si>
  <si>
    <t>Major apple grower/marketer. Proprietary varieties. Source: CMI Orchards.</t>
  </si>
  <si>
    <t>Mastronardi Produce (SUNSET)</t>
  </si>
  <si>
    <t>Canada</t>
  </si>
  <si>
    <t>Greenhouse vegetable producer</t>
  </si>
  <si>
    <t>Tomatoes, Peppers, Cucumbers (greenhouse)</t>
  </si>
  <si>
    <t>Major greenhouse producer (SUNSET brand). ON, MI, Mexico. Source: Mastronardi.</t>
  </si>
  <si>
    <t>NatureFresh Farms</t>
  </si>
  <si>
    <t>Greenhouse produce producer</t>
  </si>
  <si>
    <t>Large greenhouse vegetable producer. Multiple NA facilities. Source: NatureFresh.</t>
  </si>
  <si>
    <t>Windset Farms</t>
  </si>
  <si>
    <t>Major greenhouse company. BC, CA, Mexico. Source: Windset Farms.</t>
  </si>
  <si>
    <t>Grimmway Farms</t>
  </si>
  <si>
    <t>Integrated carrot/vegetable producer</t>
  </si>
  <si>
    <t>Carrots, Organic Vegetables</t>
  </si>
  <si>
    <t>World's largest carrot producer. 50,000+ acres. Cal-Organic brand. Source: Grimmway.</t>
  </si>
  <si>
    <t>Blue Diamond Growers</t>
  </si>
  <si>
    <t>Almond cooperative</t>
  </si>
  <si>
    <t>Almonds</t>
  </si>
  <si>
    <t>World's largest almond processor. ~3,000 CA growers. Source: Blue Diamond.</t>
  </si>
  <si>
    <t>Limoneira</t>
  </si>
  <si>
    <t>Integrated citrus/avocado producer</t>
  </si>
  <si>
    <t>Lemons, Avocados, Oranges</t>
  </si>
  <si>
    <t>~10,000 acres in CA. Premium lemon producer. Source: Limoneira Annual Reports.</t>
  </si>
  <si>
    <t>Bolthouse Farms</t>
  </si>
  <si>
    <t>Integrated carrot/beverage producer</t>
  </si>
  <si>
    <t>Carrots, Beverages</t>
  </si>
  <si>
    <t>Major carrot producer (Butterfly Equity). Source: Bolthouse Farms.</t>
  </si>
  <si>
    <t>Tanimura &amp; Antle</t>
  </si>
  <si>
    <t>Integrated lettuce/vegetable producer</t>
  </si>
  <si>
    <t>Lettuce, Romaine, Celery, Broccoli, Cauliflower</t>
  </si>
  <si>
    <t>Major Salinas Valley grower. 36,000+ acres. Source: Tanimura &amp; Antle.</t>
  </si>
  <si>
    <t>Duda Farm Fresh Foods</t>
  </si>
  <si>
    <t>Integrated vegetable producer</t>
  </si>
  <si>
    <t>Celery, Lettuce, Radishes, Citrus</t>
  </si>
  <si>
    <t>Major US grower in FL, CA, AZ. Family-owned since 1926. Source: Duda.</t>
  </si>
  <si>
    <t>Church Brothers Farms</t>
  </si>
  <si>
    <t>Leafy Greens, Broccoli, Cauliflower, Brussels Sprouts</t>
  </si>
  <si>
    <t>Major Salinas Valley grower. Fresh-cut processing. Source: Church Brothers.</t>
  </si>
  <si>
    <t>Sun World International</t>
  </si>
  <si>
    <t>Table grape/stone fruit IP</t>
  </si>
  <si>
    <t>Table Grapes, Stone Fruits (proprietary varieties)</t>
  </si>
  <si>
    <t>Premium fruit IP company. Licenses proprietary varieties globally. Source: Sun World.</t>
  </si>
  <si>
    <t>Naturipe Farms</t>
  </si>
  <si>
    <t>Blueberries, Strawberries, Raspberries, Blackberries</t>
  </si>
  <si>
    <t>Major berry producer (JV). Farms across Americas. Source: Naturipe.</t>
  </si>
  <si>
    <t>Mission Produce</t>
  </si>
  <si>
    <t>Avocado producer/distributor</t>
  </si>
  <si>
    <t>Avocados</t>
  </si>
  <si>
    <t>World's largest avocado distributor. CA, Peru farms. Source: Mission Produce.</t>
  </si>
  <si>
    <t>Chiquita Brands</t>
  </si>
  <si>
    <t>Integrated banana producer</t>
  </si>
  <si>
    <t>Bananas, Pineapples</t>
  </si>
  <si>
    <r>
      <rPr>
        <sz val="8.5"/>
        <color rgb="FF555555"/>
        <rFont val="Arial"/>
      </rPr>
      <t>Cutrale-Safra owned. Plantations in C/S America.</t>
    </r>
    <r>
      <rPr>
        <b/>
        <sz val="8.5"/>
        <color rgb="FFFF0000"/>
        <rFont val="Arial"/>
      </rPr>
      <t xml:space="preserve"> Juan Carlos may have contacts.</t>
    </r>
    <r>
      <rPr>
        <sz val="8.5"/>
        <color rgb="FF555555"/>
        <rFont val="Arial"/>
      </rPr>
      <t xml:space="preserve"> Source: Chiquita.</t>
    </r>
  </si>
  <si>
    <t>Citrus World (Florida's Natural)</t>
  </si>
  <si>
    <t>Citrus cooperative</t>
  </si>
  <si>
    <t>Oranges, Grapefruit, Citrus</t>
  </si>
  <si>
    <t>Florida citrus cooperative. Greening disease = biostim opportunity. Source: Florida's Natural.</t>
  </si>
  <si>
    <t>Setton Pistachio</t>
  </si>
  <si>
    <t>Pistachio processor</t>
  </si>
  <si>
    <t>Pistachios</t>
  </si>
  <si>
    <t>Major CA pistachio processor. Orchards + growers. Source: Setton Pistachio.</t>
  </si>
  <si>
    <t>Bee Sweet Citrus</t>
  </si>
  <si>
    <t>Citrus grower/packer</t>
  </si>
  <si>
    <t>Mandarins, Oranges, Lemons</t>
  </si>
  <si>
    <t>CA citrus grower. San Joaquin Valley. Family-owned. Source: Bee Sweet.</t>
  </si>
  <si>
    <t>Sunkist Growers</t>
  </si>
  <si>
    <t>Oranges, Lemons, Grapefruit, Mandarins</t>
  </si>
  <si>
    <t>Major US citrus cooperative. ~2,000 grower members. Source: Sunkist.</t>
  </si>
  <si>
    <t>Ocean Spray</t>
  </si>
  <si>
    <t>Cranberry cooperative</t>
  </si>
  <si>
    <t>Cranberries, Blueberries</t>
  </si>
  <si>
    <t>World's largest cranberry cooperative. ~700 grower families. Source: Ocean Spray.</t>
  </si>
  <si>
    <t>DNE World Fruit</t>
  </si>
  <si>
    <t>Citrus/grape marketer</t>
  </si>
  <si>
    <t>Citrus, Table Grapes</t>
  </si>
  <si>
    <t>Major citrus/grape marketer. Multi-origin supply. Source: DNE World Fruit.</t>
  </si>
  <si>
    <t>Taylor Farms</t>
  </si>
  <si>
    <t>Fresh-cut produce processor</t>
  </si>
  <si>
    <t>Salads, Fresh-cut Vegetables, Leafy Greens</t>
  </si>
  <si>
    <t>Largest fresh-cut salad processor in NA. Source: Taylor Farms.</t>
  </si>
  <si>
    <t>Welch's</t>
  </si>
  <si>
    <t>Grape cooperative</t>
  </si>
  <si>
    <t>Concord Grapes, Niagara Grapes</t>
  </si>
  <si>
    <t>Grape cooperative. ~900 grower families. Source: Welch's.</t>
  </si>
  <si>
    <t>TreeTop</t>
  </si>
  <si>
    <t>Apple cooperative</t>
  </si>
  <si>
    <t>Apples, Pears</t>
  </si>
  <si>
    <t>Apple cooperative in WA. ~1,100 members. Source: TreeTop.</t>
  </si>
  <si>
    <t>San Miguel Global</t>
  </si>
  <si>
    <t>Chile</t>
  </si>
  <si>
    <t>Integrated fruit producer</t>
  </si>
  <si>
    <t>Grapes, Citrus, Berries, Stone Fruits, Apples</t>
  </si>
  <si>
    <t>Major integrated fruit company. Farms across hemispheres. Source: San Miguel.</t>
  </si>
  <si>
    <t>Hortifrut</t>
  </si>
  <si>
    <t>Integrated berry producer</t>
  </si>
  <si>
    <t>Blueberries, Raspberries, Blackberries, Strawberries</t>
  </si>
  <si>
    <t>World's largest berry producer. Global farms. Source: Hortifrut Annual Reports.</t>
  </si>
  <si>
    <t>Camposol</t>
  </si>
  <si>
    <t>Avocados, Blueberries, Grapes, Mandarins</t>
  </si>
  <si>
    <t>Peru's largest agri exporter. 25,000+ ha. $184M EBITDA 2024. Source: Camposol 2024.</t>
  </si>
  <si>
    <t>Agricola Garces</t>
  </si>
  <si>
    <t>Cherries, Grapes, Blueberries, Apples</t>
  </si>
  <si>
    <t>Major Chilean fruit producer. Premium fruit for Asian markets. Source: Agricola Garces.</t>
  </si>
  <si>
    <t>Agroberries</t>
  </si>
  <si>
    <t>Blueberries, Cherries</t>
  </si>
  <si>
    <t>Chilean berry producer in Chile and Peru. Source: Agroberries.</t>
  </si>
  <si>
    <t>Adecoagro</t>
  </si>
  <si>
    <t>Luxembourg</t>
  </si>
  <si>
    <t>Integrated agribusiness</t>
  </si>
  <si>
    <t>Sugar Cane, Grains, Rice</t>
  </si>
  <si>
    <t>~230,000 ha in Argentina, Brazil, Uruguay. Source: Adecoagro Annual Reports.</t>
  </si>
  <si>
    <t>SLC Agrícola</t>
  </si>
  <si>
    <t>Brazil</t>
  </si>
  <si>
    <t>Large-scale crop producer</t>
  </si>
  <si>
    <t>Soybeans, Cotton, Corn</t>
  </si>
  <si>
    <t>Brazil's largest farmer. ~734,000 ha planted 2024/25. Source: SLC Agrícola 2024 Report.</t>
  </si>
  <si>
    <t>Westfalia Fruit</t>
  </si>
  <si>
    <t>South Africa</t>
  </si>
  <si>
    <t>Integrated avocado/fruit producer</t>
  </si>
  <si>
    <t>Avocados, Mangoes, Litchis</t>
  </si>
  <si>
    <t>World leader in avocados. Farms in SA, Chile, Peru, Colombia, Mozambique. Source: Westfalia.</t>
  </si>
  <si>
    <t>Capespan</t>
  </si>
  <si>
    <t>Fresh produce exporter</t>
  </si>
  <si>
    <t>Citrus, Grapes, Apples, Pears, Stone Fruits</t>
  </si>
  <si>
    <t>Major SA fruit exporter. Source: Capespan.</t>
  </si>
  <si>
    <t>BerryWorld</t>
  </si>
  <si>
    <t>Berry marketer/genetics</t>
  </si>
  <si>
    <t>Berry genetics company. Proprietary varieties. UK/EU. Source: BerryWorld.</t>
  </si>
  <si>
    <t>Greenyard</t>
  </si>
  <si>
    <t>Belgium</t>
  </si>
  <si>
    <t>Fresh produce supplier</t>
  </si>
  <si>
    <t>Fresh Fruits, Vegetables, Frozen Produce</t>
  </si>
  <si>
    <t>Major EU fresh produce supplier. EU biostimulant-friendly. Source: Greenyard.</t>
  </si>
  <si>
    <t>Florette (Agrial)</t>
  </si>
  <si>
    <t>France</t>
  </si>
  <si>
    <t>Fresh salad producer</t>
  </si>
  <si>
    <t>Salads, Leafy Greens, Fresh-cut Vegetables</t>
  </si>
  <si>
    <t>EU leader in fresh salads. Part of Agrial cooperative. Source: Agrial/Florette.</t>
  </si>
  <si>
    <t>Illovo Sugar: 75K+ ha Africa. Source: ABF / Illovo Annual Reports.</t>
  </si>
  <si>
    <t xml:space="preserve">    Southeast Asia</t>
  </si>
  <si>
    <t>Olam Group</t>
  </si>
  <si>
    <t>Singapore</t>
  </si>
  <si>
    <t>Cocoa, Coffee, Nuts, Spices, Cotton, Rice</t>
  </si>
  <si>
    <t>700,000+ ha global. Almond orchards, coffee estates, cocoa farms. Source: Olam Annual Reports.</t>
  </si>
  <si>
    <t>Costa Group</t>
  </si>
  <si>
    <t>Australia</t>
  </si>
  <si>
    <t>Berries, Tomatoes, Avocados, Citrus</t>
  </si>
  <si>
    <t>Now Paine Schwartz/Driscoll's/BCI consortium. ~8,000 ha. Source: Costa Group / BCI 2024.</t>
  </si>
  <si>
    <t>Seeka</t>
  </si>
  <si>
    <t>Integrated kiwifruit/avocado</t>
  </si>
  <si>
    <t>Kiwifruit, Avocados</t>
  </si>
  <si>
    <t>Major NZ grower and post-harvest operator. Source: Seeka Annual Reports.</t>
  </si>
  <si>
    <t>Summary</t>
  </si>
  <si>
    <t>Total Companies</t>
  </si>
  <si>
    <t>Tier 1 Targets</t>
  </si>
  <si>
    <t>Tier 2 Targets</t>
  </si>
  <si>
    <t>Unscored (new leads)</t>
  </si>
  <si>
    <t>Total Addressable Hectares</t>
  </si>
  <si>
    <t>3,727,310</t>
  </si>
  <si>
    <t>Revenue Model</t>
  </si>
  <si>
    <t>Ha × 80% × 2 L/app × 3 apps/yr × €7.50/L</t>
  </si>
  <si>
    <t>Current Leads &amp; Contacts</t>
  </si>
  <si>
    <t>Company Name</t>
  </si>
  <si>
    <t>Current Status</t>
  </si>
  <si>
    <t>Contact</t>
  </si>
  <si>
    <t>Position</t>
  </si>
  <si>
    <t>Email Address</t>
  </si>
  <si>
    <t>LinkedIn</t>
  </si>
  <si>
    <t>Region</t>
  </si>
  <si>
    <t>Crops</t>
  </si>
  <si>
    <t>Matrix Score</t>
  </si>
  <si>
    <t>Matrix reason</t>
  </si>
  <si>
    <t>KB Owner</t>
  </si>
  <si>
    <t>L5: Under contract</t>
  </si>
  <si>
    <t>Revenue target ($7.5/L)</t>
  </si>
  <si>
    <t>Bonag</t>
  </si>
  <si>
    <t>US$12m by 2030</t>
  </si>
  <si>
    <t>MOU signed</t>
  </si>
  <si>
    <t>Roberto Aguerra</t>
  </si>
  <si>
    <t>Co-Founder</t>
  </si>
  <si>
    <t>raguirre@bon-ag.com</t>
  </si>
  <si>
    <t>NA</t>
  </si>
  <si>
    <t>David</t>
  </si>
  <si>
    <t>L4: Defining Contract</t>
  </si>
  <si>
    <t>L3: Qualifying opportunity</t>
  </si>
  <si>
    <t xml:space="preserve">Peruvian market </t>
  </si>
  <si>
    <t>TBD</t>
  </si>
  <si>
    <t>NDA circulated, business case in progress</t>
  </si>
  <si>
    <t>Oscar Segaldo</t>
  </si>
  <si>
    <t>Technical Advisor</t>
  </si>
  <si>
    <t>LatAM</t>
  </si>
  <si>
    <t>Grapes</t>
  </si>
  <si>
    <t>L2: Active Initial engagement</t>
  </si>
  <si>
    <t xml:space="preserve">Pitch deck sent. Touch base end of next week. </t>
  </si>
  <si>
    <t>Rachel Pope</t>
  </si>
  <si>
    <t xml:space="preserve">Board member </t>
  </si>
  <si>
    <t>Diverse Fruits</t>
  </si>
  <si>
    <t>First meeting scheduled for trial engagement in Iberia</t>
  </si>
  <si>
    <t>Joao Roseiro</t>
  </si>
  <si>
    <t>Agronomy Director</t>
  </si>
  <si>
    <t xml:space="preserve">10k addressable hectares. But already have Biostim. </t>
  </si>
  <si>
    <t>Josein</t>
  </si>
  <si>
    <t>Pitch deck sent to Vahid. Call on Tuesday</t>
  </si>
  <si>
    <t>Vahid Monadjem</t>
  </si>
  <si>
    <t>Selling to them</t>
  </si>
  <si>
    <t>vahidjm@gmail.com</t>
  </si>
  <si>
    <t>TEST.</t>
  </si>
  <si>
    <t>British Fruits</t>
  </si>
  <si>
    <t xml:space="preserve">Zespri </t>
  </si>
  <si>
    <t>Mapping revenue</t>
  </si>
  <si>
    <t xml:space="preserve">Felicity </t>
  </si>
  <si>
    <t>Kiwi</t>
  </si>
  <si>
    <t xml:space="preserve">Outreach made - David's network. </t>
  </si>
  <si>
    <t>BAT</t>
  </si>
  <si>
    <t>$1.8m</t>
  </si>
  <si>
    <t>Pitch deck sent to Head of Innovation</t>
  </si>
  <si>
    <t>Rishad Sharif</t>
  </si>
  <si>
    <t>Group Head of Quality &amp; Operations</t>
  </si>
  <si>
    <t>UK, Global</t>
  </si>
  <si>
    <t>Tabacco Leaf</t>
  </si>
  <si>
    <t>Liberia / Kenya / Zimbabwean market</t>
  </si>
  <si>
    <t>tbd</t>
  </si>
  <si>
    <t>first call</t>
  </si>
  <si>
    <t>Funke Michales</t>
  </si>
  <si>
    <t>Second call</t>
  </si>
  <si>
    <t xml:space="preserve">Obi </t>
  </si>
  <si>
    <t>first message sent.</t>
  </si>
  <si>
    <t>Julie Cornouyer</t>
  </si>
  <si>
    <t>Director of Global Sustainability</t>
  </si>
  <si>
    <t>Dole International</t>
  </si>
  <si>
    <t>In progress</t>
  </si>
  <si>
    <t>Minerva G. Nuñez, Ph.D.</t>
  </si>
  <si>
    <t>Senior Research Scientist</t>
  </si>
  <si>
    <t>Philipines</t>
  </si>
  <si>
    <t>Sophia</t>
  </si>
  <si>
    <t>Dole Phillipines (Stanfilco Div.)</t>
  </si>
  <si>
    <t>Stalled</t>
  </si>
  <si>
    <t>Ariel B. Bolledo</t>
  </si>
  <si>
    <t>Research and Development</t>
  </si>
  <si>
    <t>Reached out 02.03.2026</t>
  </si>
  <si>
    <t>Jemma Whiten</t>
  </si>
  <si>
    <t>Fresh Del Monte Produce Inc.</t>
  </si>
  <si>
    <t>1000s</t>
  </si>
  <si>
    <t>Borgesuis</t>
  </si>
  <si>
    <t>Valentin initial enagement - handed to Sophia - awaiting response</t>
  </si>
  <si>
    <t>Driscolls</t>
  </si>
  <si>
    <t>done</t>
  </si>
  <si>
    <t>L1: Our next tranche</t>
  </si>
  <si>
    <t>Olam Food Ingredients (OFI)</t>
  </si>
  <si>
    <t>Growers United (coop)</t>
  </si>
  <si>
    <t>Michiel Kemmer</t>
  </si>
  <si>
    <t>not integrated, co-op</t>
  </si>
  <si>
    <t xml:space="preserve">to do </t>
  </si>
  <si>
    <t>Chiquita</t>
  </si>
  <si>
    <t>Juan-Carlos has contacts. Need to work with him to understand trialling to deal pipeline</t>
  </si>
  <si>
    <t>Reached out to Australian contact. No for now</t>
  </si>
  <si>
    <t>Barry Callebaut</t>
  </si>
  <si>
    <t>done. large cocoa trader</t>
  </si>
  <si>
    <t>https://www.linkedin.com/in/paul-antoine-hourticq/</t>
  </si>
  <si>
    <t>WHF</t>
  </si>
  <si>
    <t>done outreach</t>
  </si>
  <si>
    <t>Avocados, Blueberries, Grapes, Mandarins, Shrimp</t>
  </si>
  <si>
    <t>L0: No</t>
  </si>
  <si>
    <t>General Mills</t>
  </si>
  <si>
    <t>done - no response</t>
  </si>
  <si>
    <t>McCain</t>
  </si>
  <si>
    <t>Bonduelle</t>
  </si>
  <si>
    <t>done - no response. follow up another avenue</t>
  </si>
  <si>
    <t>Julie Cornoyer</t>
  </si>
  <si>
    <t>Fruits. Banana, Melon</t>
  </si>
  <si>
    <t>Integrated</t>
  </si>
  <si>
    <t>Kelp Blue old existing contacts</t>
  </si>
  <si>
    <t>Dolefil</t>
  </si>
  <si>
    <t>Francis Babac</t>
  </si>
  <si>
    <t>Director</t>
  </si>
  <si>
    <t>Francis.Babac@doleinyl.com</t>
  </si>
  <si>
    <t>Anthony --&gt; Sophia</t>
  </si>
  <si>
    <t>Novy Castolo</t>
  </si>
  <si>
    <t>Operation Manager</t>
  </si>
  <si>
    <t>Novy.Castolo@doleintl.com</t>
  </si>
  <si>
    <t>Jeanette Abalde</t>
  </si>
  <si>
    <t>QA Superintendend</t>
  </si>
  <si>
    <t>Jeanette.Abalde@dolefil.com</t>
  </si>
  <si>
    <t>Dr.Reofeli Perez</t>
  </si>
  <si>
    <t>Sr. Scientist</t>
  </si>
  <si>
    <t>reofeli.perez@doleintl.com</t>
  </si>
  <si>
    <t>Dr. Roel Dayondon</t>
  </si>
  <si>
    <t>Roel.Dayodon@doleintl.com</t>
  </si>
  <si>
    <t>Elvie Escalicas</t>
  </si>
  <si>
    <t>Despatching In-charge</t>
  </si>
  <si>
    <t>Elvie.Escalicas@doleintl.com</t>
  </si>
  <si>
    <t> </t>
  </si>
  <si>
    <t>Dole Stanfilco</t>
  </si>
  <si>
    <t>Dr. Gaudencia Lantican</t>
  </si>
  <si>
    <t>Durian</t>
  </si>
  <si>
    <t>Ariel Bolledo</t>
  </si>
  <si>
    <t>Ariel.Bolledo@doleintl.com</t>
  </si>
  <si>
    <t>Del Monte Phil Inc.</t>
  </si>
  <si>
    <t>Analiza Tagle</t>
  </si>
  <si>
    <t>TagleAG@delmonte-phil.com</t>
  </si>
  <si>
    <t>Pineapple</t>
  </si>
  <si>
    <t>Hans Mahilom</t>
  </si>
  <si>
    <t>Research in charge fruit protection</t>
  </si>
  <si>
    <t>MahilumHA@delmonte-phil.com</t>
  </si>
  <si>
    <t>Resheilo Ordoyo</t>
  </si>
  <si>
    <t>OrdoyoRF@delmonte-phil.com</t>
  </si>
  <si>
    <t>Del Monte Fresh Produce</t>
  </si>
  <si>
    <t>Dr. Nicole Magculia</t>
  </si>
  <si>
    <t>Sr. Manager Research</t>
  </si>
  <si>
    <t>Nmagculia@Freshdelmonte.com</t>
  </si>
  <si>
    <t>Pine and Banana</t>
  </si>
  <si>
    <t>Richard Apas</t>
  </si>
  <si>
    <t>Manager Postharvest Research</t>
  </si>
  <si>
    <t>Rapas@Freshdelmonte.com</t>
  </si>
  <si>
    <t>Rene Orias</t>
  </si>
  <si>
    <t>Sr. Manager for Purchasing</t>
  </si>
  <si>
    <t>Rorias@Freshdelmonte.com</t>
  </si>
  <si>
    <t>Cristian Alvarado</t>
  </si>
  <si>
    <t>Sr. Director QA/FS APAC</t>
  </si>
  <si>
    <t>CAlvarado1@Freshdelmonte.com</t>
  </si>
  <si>
    <t>Lapanday Foods Co.</t>
  </si>
  <si>
    <t>Dr. Joey Orajay</t>
  </si>
  <si>
    <t>Manager Research Department</t>
  </si>
  <si>
    <t>jiorajay@lapanday.com</t>
  </si>
  <si>
    <t>Romeo Mugas</t>
  </si>
  <si>
    <t>Researcher Postharvest</t>
  </si>
  <si>
    <t>romeomugasjr100991@gmail.com</t>
  </si>
  <si>
    <t>Sheryl Quiruben</t>
  </si>
  <si>
    <t>Plt. nutrition reasercher</t>
  </si>
  <si>
    <t>Banana</t>
  </si>
  <si>
    <t>Aprilyn Regner</t>
  </si>
  <si>
    <t>Plant Pathology and Etomology Research head</t>
  </si>
  <si>
    <t>Marites Celiz</t>
  </si>
  <si>
    <t>Tissue Culture Laboratory in charge</t>
  </si>
  <si>
    <t>Banana Tissue Laboratory</t>
  </si>
  <si>
    <t>Lapanday Diversified Product Co.</t>
  </si>
  <si>
    <t>Patrick Porter</t>
  </si>
  <si>
    <t>Farm Manager</t>
  </si>
  <si>
    <t>paporter@lapanday.com</t>
  </si>
  <si>
    <t>Alcantara</t>
  </si>
  <si>
    <t>Mencho Loayan</t>
  </si>
  <si>
    <t>Techincal Support Department Manager (Pineapple)</t>
  </si>
  <si>
    <t>mmloayan@saranganibay.com.ph</t>
  </si>
  <si>
    <t>Mae Lao</t>
  </si>
  <si>
    <t>Techincal Support Department Manager (Banana)</t>
  </si>
  <si>
    <t>Natures Fresh</t>
  </si>
  <si>
    <t>Mike Butron</t>
  </si>
  <si>
    <t>Plantation Manager</t>
  </si>
  <si>
    <t>Tadeco</t>
  </si>
  <si>
    <t>Marlo Bathan</t>
  </si>
  <si>
    <t>Assistant Manager, Plant Nutrition Research</t>
  </si>
  <si>
    <t>Pomelo</t>
  </si>
  <si>
    <t>Marchie Macabodbod</t>
  </si>
  <si>
    <t>Superintendent, Postharvest Research</t>
  </si>
  <si>
    <t>Sumifru</t>
  </si>
  <si>
    <t>Joseph Balandra</t>
  </si>
  <si>
    <t>Pineapple Plantaion Manager</t>
  </si>
  <si>
    <t>joseph.balndra@sumifru.com</t>
  </si>
  <si>
    <t>Kesha Mae Balagagno</t>
  </si>
  <si>
    <t>Tissue Laboratory</t>
  </si>
  <si>
    <t>Unifrutti Phil</t>
  </si>
  <si>
    <t>Mark Valero</t>
  </si>
  <si>
    <t>Soils and Plant Nutrition Supervisor</t>
  </si>
  <si>
    <t>Hijo Resource Co.</t>
  </si>
  <si>
    <t>Giovanni Zanoria</t>
  </si>
  <si>
    <t>Production Head</t>
  </si>
  <si>
    <t>SODACO</t>
  </si>
  <si>
    <t>Mario Magbanua</t>
  </si>
  <si>
    <t>mr.magbanua@gmail.com</t>
  </si>
  <si>
    <t>Eng Seng Food Product</t>
  </si>
  <si>
    <t>Ruby Bernales</t>
  </si>
  <si>
    <t>Manager</t>
  </si>
  <si>
    <t>rubygudito@gmail.com</t>
  </si>
  <si>
    <t>BJM Durian Exporter</t>
  </si>
  <si>
    <t>Bill</t>
  </si>
  <si>
    <t>Plant in charge</t>
  </si>
  <si>
    <t>Maylong Enterprise</t>
  </si>
  <si>
    <t>Jovelyn</t>
  </si>
  <si>
    <t>Admin in charge</t>
  </si>
  <si>
    <t>Mei He-Plus</t>
  </si>
  <si>
    <t>Anna Rose Into</t>
  </si>
  <si>
    <t>XLG Durian Exporter</t>
  </si>
  <si>
    <t>Merafe Co</t>
  </si>
  <si>
    <t>Plant Manager</t>
  </si>
  <si>
    <t>meerafeco@gmail.com</t>
  </si>
  <si>
    <t>Menzi Pomelo</t>
  </si>
  <si>
    <t>Alexander Ines</t>
  </si>
  <si>
    <t>Farm in charge</t>
  </si>
  <si>
    <t>Golden Pomelo</t>
  </si>
  <si>
    <t>Nilo Ramiso</t>
  </si>
  <si>
    <t>Vic Pomelo</t>
  </si>
  <si>
    <t>Kobi Tan</t>
  </si>
  <si>
    <t>Owner</t>
  </si>
  <si>
    <t>Nakashin Davao (Mango Exporter)</t>
  </si>
  <si>
    <t>Efraim Gloriba</t>
  </si>
  <si>
    <t>Raw Material Procurement Officer</t>
  </si>
  <si>
    <t>efraim.gloriba@nakashin.com.ph</t>
  </si>
  <si>
    <t>Mango</t>
  </si>
  <si>
    <t>CM Farm</t>
  </si>
  <si>
    <t>Pocholo dela Pena</t>
  </si>
  <si>
    <t>Argan Dragon Fruit Farm</t>
  </si>
  <si>
    <t>Andy</t>
  </si>
  <si>
    <t>Dragon Fruit</t>
  </si>
  <si>
    <t>Sia Farm</t>
  </si>
  <si>
    <t>Ramil Sia</t>
  </si>
  <si>
    <t>Level</t>
  </si>
  <si>
    <t>Definition</t>
  </si>
  <si>
    <t>Evidence Required</t>
  </si>
  <si>
    <t>L1 — Identified</t>
  </si>
  <si>
    <t>Target mapped, no meaningful contact</t>
  </si>
  <si>
    <t>Research complete, entry point identified, cold call initiated</t>
  </si>
  <si>
    <t>L2 — Engaged</t>
  </si>
  <si>
    <t>Conversation initiated, interest signal</t>
  </si>
  <si>
    <t>Meeting held or response received</t>
  </si>
  <si>
    <t>L3 — Qualifying</t>
  </si>
  <si>
    <t>Mutual interest confirmed, scope discussed, target revenue identified</t>
  </si>
  <si>
    <t>Defined next step, internal champion identified</t>
  </si>
  <si>
    <t>L4 — Advancing</t>
  </si>
  <si>
    <t>Active negotiation or commercial discussion to sign engagement</t>
  </si>
  <si>
    <t>Term sheet / MOU / trial agreement in motion</t>
  </si>
  <si>
    <t>L5 — Executing</t>
  </si>
  <si>
    <t>Actually managing execution of the contract to reach revenue targets</t>
  </si>
  <si>
    <t xml:space="preserve">NEW: </t>
  </si>
  <si>
    <t>Commercial agreement executed; actively managing delivery against revenue targets.</t>
  </si>
  <si>
    <t>Signed MOU/contract; revenue milestones defined; delivery schedule in place.</t>
  </si>
  <si>
    <t>Commercial terms under negotiation; mutual commitment to formalise engagement.</t>
  </si>
  <si>
    <t>Term sheet, MOU, or trial agreement in active drafting or review.</t>
  </si>
  <si>
    <t>Mutual interest confirmed; scope, fit, and target revenue under discussion.</t>
  </si>
  <si>
    <t>Defined next steps; internal champion identified; business case in progress.</t>
  </si>
  <si>
    <t>L2 — Active Engagement</t>
  </si>
  <si>
    <t>Dialogue initiated; early signals of interest or strategic fit being explored.</t>
  </si>
  <si>
    <t>Meeting held or pitch delivered; follow-up response received.</t>
  </si>
  <si>
    <t>L1 — Identified Target</t>
  </si>
  <si>
    <t>Company mapped and assessed; no meaningful commercial contact yet established.</t>
  </si>
  <si>
    <t>Research complete; entry point identified; outreach planned or initiated.</t>
  </si>
  <si>
    <t>Decision Matrix - Target Partners (Group - Top 50 food companies globally)</t>
  </si>
  <si>
    <t>Scores are 0–5. Weighted score and tier update automatically based on Assumptions tab.</t>
  </si>
  <si>
    <t>Business Type (eg. integrated producer)</t>
  </si>
  <si>
    <t>Countries with controlled farms</t>
  </si>
  <si>
    <t>Main crops (top 5)</t>
  </si>
  <si>
    <t>Integration / Owns Land (0–5)</t>
  </si>
  <si>
    <t>High-Value Crop Exposure (0–5)</t>
  </si>
  <si>
    <t>Registration Ease (0–5)</t>
  </si>
  <si>
    <t>Scale Potential (0–5)</t>
  </si>
  <si>
    <t>Strategic Leverage (0–5)</t>
  </si>
  <si>
    <t>Penalty: Complexity (0–-2)</t>
  </si>
  <si>
    <t>Weighted Score (0–5)</t>
  </si>
  <si>
    <t>Top 50 food companies in the world</t>
  </si>
  <si>
    <t>Ahold Delhaize</t>
  </si>
  <si>
    <t>Retail/supermarket chain</t>
  </si>
  <si>
    <t>Netherlands, Belgium, USA (limited direct farm control)</t>
  </si>
  <si>
    <t>Vegetables, Fruits, Dairy (sourced, not owned)</t>
  </si>
  <si>
    <t>Major European retailer with US presence (Food Lion, Giant, Stop &amp; Shop). Sustainable sourcing programs but limited direct land control. Primary focus on retail, not farming. Source: Company annual reports, sustainability reports.</t>
  </si>
  <si>
    <t>Nestlé</t>
  </si>
  <si>
    <t>Global food &amp; beverage manufacturer</t>
  </si>
  <si>
    <t>Côte d'Ivoire, Ghana, Vietnam, Indonesia, Brazil (cocoa/coffee programs)</t>
  </si>
  <si>
    <t>Coffee, Cocoa, Dairy, Cereals, Vegetables</t>
  </si>
  <si>
    <t>World's largest food company. Nescafé Plan, Cocoa Plan programs involve direct farmer relationships but limited owned land. Strong sustainability commitments. Very complex procurement across 180+ countries. Source: Nestlé Annual Review, Creating Shared Value reports.</t>
  </si>
  <si>
    <t>JBS N.V.</t>
  </si>
  <si>
    <t>Vertically integrated protein processor</t>
  </si>
  <si>
    <t>Brazil, USA, Australia, Argentina (cattle, poultry operations)</t>
  </si>
  <si>
    <t>Beef, Poultry, Pork, Animal feed (corn, soy)</t>
  </si>
  <si>
    <t>World's largest meat processor. Owns feedlots, processing plants globally. JBS USA (Pilgrim's Pride, Swift). Focus on protein, limited crop-specific biostimulant application. Source: JBS Annual Reports, SEC filings.</t>
  </si>
  <si>
    <t>Archer Daniels Midland (ADM)</t>
  </si>
  <si>
    <t>Agricultural commodity trader/processor</t>
  </si>
  <si>
    <t>USA, Brazil, Argentina, Ukraine (extensive grain sourcing)</t>
  </si>
  <si>
    <t>Corn, Soybeans, Wheat, Oilseeds, Barley</t>
  </si>
  <si>
    <t>Major commodity trader and processor. Does not own significant farmland - works with independent farmers/cooperatives. Focus on commodity grains. Biostimulant potential limited by crop type. Source: ADM Annual Reports, investor presentations.</t>
  </si>
  <si>
    <t>Sysco</t>
  </si>
  <si>
    <t>Foodservice distribution</t>
  </si>
  <si>
    <t>USA, Canada, UK, Ireland (no direct farm control)</t>
  </si>
  <si>
    <t>All categories (sourced from suppliers)</t>
  </si>
  <si>
    <t>Largest foodservice distributor in North America. No direct farming operations - sources from suppliers. Could influence supplier practices through specifications. Source: Sysco Annual Reports, sustainability reports.</t>
  </si>
  <si>
    <t>Performance Food Group</t>
  </si>
  <si>
    <t>USA (no direct farm control)</t>
  </si>
  <si>
    <t>Third-largest foodservice distributor in US. Pure distribution model. No farming operations. Source: PFG Annual Reports.</t>
  </si>
  <si>
    <t>Bunge Global SA</t>
  </si>
  <si>
    <t>Brazil, Argentina, USA, Europe (extensive sourcing)</t>
  </si>
  <si>
    <t>Soybeans, Corn, Wheat, Canola, Sunflower</t>
  </si>
  <si>
    <t>Major commodity trader (part of ABCD group). Works with farmers through origination networks but limited owned production. Focus on commodity grains/oilseeds. Source: Bunge Annual Reports.</t>
  </si>
  <si>
    <t>Unilever</t>
  </si>
  <si>
    <t>Consumer goods manufacturer</t>
  </si>
  <si>
    <t>Indonesia, India, Brazil, EU (sustainable sourcing programs)</t>
  </si>
  <si>
    <t>Palm oil, Tea, Cocoa, Soybeans, Vegetables</t>
  </si>
  <si>
    <t>Major consumer goods company with strong sustainability commitments. Sustainable Living Brands program. Sources from farmers but limited direct land control. Source: Unilever Annual Reports, sustainability disclosures.</t>
  </si>
  <si>
    <t>Tyson Foods</t>
  </si>
  <si>
    <t>USA (primarily), some operations in China, India</t>
  </si>
  <si>
    <t>Poultry, Beef, Pork, Animal feed (corn, soy)</t>
  </si>
  <si>
    <t>Largest US meat processor. Works with contract growers for poultry. Owns feed mills, processing plants. Focus on animal protein. Source: Tyson Annual Reports, sustainability reports.</t>
  </si>
  <si>
    <t>George Weston</t>
  </si>
  <si>
    <t>Diversified food &amp; retail holding</t>
  </si>
  <si>
    <t>Canada, USA (via Loblaw, Weston Foods)</t>
  </si>
  <si>
    <t>Wheat (bakery), Fresh produce (retail)</t>
  </si>
  <si>
    <t>Canadian holding company - Loblaw (retail), Weston Foods (bakery). No significant direct farming. Bakery operations use commodity wheat. Source: George Weston Annual Reports.</t>
  </si>
  <si>
    <t>Wilmar International</t>
  </si>
  <si>
    <t>Indonesia, Malaysia, Africa, China, India (palm, sugar, oilseeds)</t>
  </si>
  <si>
    <t>Palm oil, Sugar cane, Soybeans, Rice, Edible oils</t>
  </si>
  <si>
    <t>Asia's leading agribusiness. Owns/operates ~230,000 ha of oil palm plantations + sugar estates. Highly integrated from plantation to consumer products. Strong in SE Asia. Source: Wilmar Annual Reports.</t>
  </si>
  <si>
    <t>Compass Group</t>
  </si>
  <si>
    <t>Contract foodservice</t>
  </si>
  <si>
    <t>Global (45+ countries, no direct farming)</t>
  </si>
  <si>
    <t>World's largest contract foodservice company. No direct farming - influences suppliers through procurement specs. Could drive supplier adoption through requirements. Source: Compass Group Annual Reports.</t>
  </si>
  <si>
    <t>US Foods</t>
  </si>
  <si>
    <t>Second-largest foodservice distributor in US. No direct farming operations. Source: US Foods Annual Reports.</t>
  </si>
  <si>
    <t>Mondelez International</t>
  </si>
  <si>
    <t>Global snack food manufacturer</t>
  </si>
  <si>
    <t>Côte d'Ivoire, Ghana, India (cocoa programs)</t>
  </si>
  <si>
    <t>Cocoa, Wheat, Sugar, Dairy, Nuts</t>
  </si>
  <si>
    <t>Global snack leader (Oreo, Cadbury, Toblerone). Cocoa Life program works with farmers but limited direct farming. Focus on processed snacks. Source: Mondelez Annual Reports.</t>
  </si>
  <si>
    <t>Marfrig Global Foods</t>
  </si>
  <si>
    <t>Integrated beef processor</t>
  </si>
  <si>
    <t>Brazil, Argentina, Uruguay, USA (cattle operations)</t>
  </si>
  <si>
    <t>Beef, Animal feed (pasture, corn)</t>
  </si>
  <si>
    <t>Second-largest beef producer globally. Owns feedlots and processing in South America. Controls significant beef production chain. Source: Marfrig Annual Reports.</t>
  </si>
  <si>
    <t>WH Group</t>
  </si>
  <si>
    <t>Hong Kong</t>
  </si>
  <si>
    <t>Integrated pork processor</t>
  </si>
  <si>
    <t>China, USA (Smithfield), Europe</t>
  </si>
  <si>
    <t>Pork, Animal feed (corn, soybeans)</t>
  </si>
  <si>
    <t>World's largest pork company. Owns Smithfield Foods (USA). Fully integrated from breeding to processing. Controls hog farms, feed mills, processing plants. Source: WH Group Annual Reports.</t>
  </si>
  <si>
    <t>UK, Spain, China, Australia (sugar, ingredients)</t>
  </si>
  <si>
    <t>Sugar (beet/cane), Wheat, Yeast ingredients</t>
  </si>
  <si>
    <t>Diversified company - AB Sugar (significant beet/cane estates via Illovo in Africa), AB Agri, Primark retail. Strong sugar estate ownership especially in Southern Africa. Source: ABF Annual Reports.</t>
  </si>
  <si>
    <t>McDonald</t>
  </si>
  <si>
    <t>Quick service restaurant</t>
  </si>
  <si>
    <t>Global (100+ countries, no direct farming)</t>
  </si>
  <si>
    <t>Potatoes, Beef, Lettuce, Tomatoes (sourced)</t>
  </si>
  <si>
    <t>World's largest restaurant company. No direct farming but strong supplier requirements. Sustainability programs (Flagship Farms) influence suppliers. Could drive adoption through supplier mandates. Source: McDonald's Annual Reports.</t>
  </si>
  <si>
    <t>Kraft Heinz</t>
  </si>
  <si>
    <t>Food &amp; beverage manufacturer</t>
  </si>
  <si>
    <t>USA, Canada, UK, EU (tomato processing)</t>
  </si>
  <si>
    <t>Tomatoes, Potatoes, Vegetables, Dairy, Wheat</t>
  </si>
  <si>
    <t>Major food company (Heinz, Kraft, Oscar Mayer). Heinz tomato operations involve some contract growing. Limited direct land ownership. Source: Kraft Heinz Annual Reports.</t>
  </si>
  <si>
    <t>Olam</t>
  </si>
  <si>
    <t>Africa, Asia, Australia, Americas (extensive farm ownership)</t>
  </si>
  <si>
    <t>Cocoa, Coffee, Nuts, Spices, Cotton, Rice, Rubber</t>
  </si>
  <si>
    <t>Major integrated agribusiness. Owns ~700,000+ ha farmland (almond orchards, coffee estates, cocoa farms, palm plantations). Highly integrated from farm to customer. Strong position in specialty crops. Source: Olam Annual Reports.</t>
  </si>
  <si>
    <t>Empire Company</t>
  </si>
  <si>
    <t>Canada (via Sobeys, no direct farming)</t>
  </si>
  <si>
    <t>Fresh produce (sourced from suppliers)</t>
  </si>
  <si>
    <t>Canadian retailer (Sobeys, Safeway Canada, IGA). No direct farming operations. Source: Empire Company Annual Reports.</t>
  </si>
  <si>
    <t>Muyuan Foods</t>
  </si>
  <si>
    <t>China</t>
  </si>
  <si>
    <t>Integrated hog producer</t>
  </si>
  <si>
    <t>China (extensive hog operations)</t>
  </si>
  <si>
    <t>Pork, Animal feed (corn, soy)</t>
  </si>
  <si>
    <t>China's largest hog breeding company. Fully integrated operations - breeding, growing, processing. Focus on swine, limited biostimulant relevance for crops. Source: Muyuan Foods Annual Reports.</t>
  </si>
  <si>
    <t>Grupo Bimbo</t>
  </si>
  <si>
    <t>Mexico</t>
  </si>
  <si>
    <t>Global bakery company</t>
  </si>
  <si>
    <t>Mexico, USA, Latin America, Europe (limited farming)</t>
  </si>
  <si>
    <t>Wheat, Sugar, Oils (sourced)</t>
  </si>
  <si>
    <t>World's largest bakery company. Owns processing but sources wheat/ingredients. Limited direct farming involvement. Source: Grupo Bimbo Annual Reports.</t>
  </si>
  <si>
    <t>Uni-President Enterprises</t>
  </si>
  <si>
    <t>Taiwan</t>
  </si>
  <si>
    <t>Diversified food conglomerate</t>
  </si>
  <si>
    <t>Taiwan, China, SE Asia</t>
  </si>
  <si>
    <t>Flour/Wheat, Beverages, Animal feed</t>
  </si>
  <si>
    <t>Taiwanese food conglomerate. Operates instant noodles, beverages, retail (7-Eleven Asia). Some flour milling, feed operations. Source: Uni-President Annual Reports.</t>
  </si>
  <si>
    <t>Food manufacturer</t>
  </si>
  <si>
    <t>USA, Canada, EU (limited direct farming)</t>
  </si>
  <si>
    <t>Wheat, Oats, Corn, Sugar, Dairy</t>
  </si>
  <si>
    <t>Major US food company (Cheerios, Häagen-Dazs, Blue Buffalo). Sources ingredients from farmers. Sustainability commitments but limited direct farming. Source: General Mills Annual Reports.</t>
  </si>
  <si>
    <t>Aramark</t>
  </si>
  <si>
    <t>USA, Europe, Asia (no direct farming)</t>
  </si>
  <si>
    <t>Major contract foodservice company. No direct farming operations. Could influence suppliers through procurement standards. Source: Aramark Annual Reports.</t>
  </si>
  <si>
    <t>Pilgrim's Pride</t>
  </si>
  <si>
    <t>Integrated poultry processor</t>
  </si>
  <si>
    <t>USA, Mexico, UK (poultry operations)</t>
  </si>
  <si>
    <t>Poultry, Animal feed (corn, soy)</t>
  </si>
  <si>
    <t>Major US poultry producer (subsidiary of JBS). Contract grower model for chickens. Owns feed mills, hatcheries, processing plants. Source: Pilgrim's Pride Annual Reports.</t>
  </si>
  <si>
    <t>Charoen Pokphand Foods</t>
  </si>
  <si>
    <t>Thailand</t>
  </si>
  <si>
    <t>Integrated agro-industrial conglomerate</t>
  </si>
  <si>
    <t>Thailand, Vietnam, China, India, Turkey (extensive)</t>
  </si>
  <si>
    <t>Shrimp, Poultry, Swine, Animal feed</t>
  </si>
  <si>
    <t>Thailand's largest agribusiness. Fully integrated - feed mills, farms (shrimp, poultry, swine), processing, retail. Strong in aquaculture and livestock. Source: CP Foods Annual Reports.</t>
  </si>
  <si>
    <t>Sodexo</t>
  </si>
  <si>
    <t>Global (56 countries, no direct farming)</t>
  </si>
  <si>
    <t>Second-largest contract foodservice company. No direct farming. Influences suppliers through procurement. Source: Sodexo Annual Reports.</t>
  </si>
  <si>
    <t>Guangdong HAID Group</t>
  </si>
  <si>
    <t>Animal feed producer</t>
  </si>
  <si>
    <t>China, SE Asia (feed operations)</t>
  </si>
  <si>
    <t>Animal feed (corn, soy, fishmeal)</t>
  </si>
  <si>
    <t>Major Chinese aquafeed and animal feed company. Focus on feed production. Some integration into farming but primarily B2B feed supplier. Source: HAID Group Annual Reports.</t>
  </si>
  <si>
    <t>Danone</t>
  </si>
  <si>
    <t>Dairy &amp; specialty food manufacturer</t>
  </si>
  <si>
    <t>France, USA, China (dairy sourcing programs)</t>
  </si>
  <si>
    <t>Dairy, Water, Plant-based ingredients</t>
  </si>
  <si>
    <t>Global dairy leader. Works with dairy farmers through programs but limited direct land ownership. Strong sustainability focus (B Corp). Source: Danone Annual Reports.</t>
  </si>
  <si>
    <t>Smithfield Foods</t>
  </si>
  <si>
    <t>USA, Poland, Romania, Mexico (pork operations)</t>
  </si>
  <si>
    <t>Largest US pork producer (owned by WH Group). Fully integrated - hog farms, feed mills, processing. Controls significant production chain. Source: Smithfield Foods website, WH Group reports.</t>
  </si>
  <si>
    <t>Kirin Holdings</t>
  </si>
  <si>
    <t>Japan</t>
  </si>
  <si>
    <t>Beverage &amp; pharmaceutical conglomerate</t>
  </si>
  <si>
    <t>Japan, Australia, SE Asia</t>
  </si>
  <si>
    <t>Barley, Hops, Tea (sourced)</t>
  </si>
  <si>
    <t>Japanese beverage conglomerate (beer, soft drinks). Sources barley, hops for brewing. Limited direct farming. Source: Kirin Holdings Annual Reports.</t>
  </si>
  <si>
    <t>Fonterra</t>
  </si>
  <si>
    <t>Dairy cooperative</t>
  </si>
  <si>
    <t>New Zealand, Australia (dairy farms)</t>
  </si>
  <si>
    <t>Dairy (pasture-based), Grass/fodder</t>
  </si>
  <si>
    <t>New Zealand dairy cooperative - collective of ~10,000 dairy farmers. Strong influence over farm practices through cooperative structure. Focus on pasture management. Source: Fonterra Annual Reports.</t>
  </si>
  <si>
    <t>Saputo</t>
  </si>
  <si>
    <t>Dairy processor</t>
  </si>
  <si>
    <t>Canada, USA, Australia, Argentina (dairy sourcing)</t>
  </si>
  <si>
    <t>Dairy (sourced from farms)</t>
  </si>
  <si>
    <t>Major dairy processor. Sources milk from dairy farmers - limited direct farm control. Focus on cheese, fluid milk processing. Source: Saputo Annual Reports.</t>
  </si>
  <si>
    <t>DSM-Firmenich</t>
  </si>
  <si>
    <t>Nutrition &amp; ingredients company</t>
  </si>
  <si>
    <t>Global (no significant direct farming)</t>
  </si>
  <si>
    <t>Vitamins, Flavors, Enzymes (manufactured/sourced)</t>
  </si>
  <si>
    <t>Global nutrition and ingredients company (merged DSM + Firmenich). Manufactures vitamins, flavors, enzymes. Limited direct farming but could be partner for ingredient synergies. Source: DSM-Firmenich reports.</t>
  </si>
  <si>
    <t>Kellanova (Kellogg's)</t>
  </si>
  <si>
    <t>Cereal &amp; snack manufacturer</t>
  </si>
  <si>
    <t>USA, Europe, LATAM (sourcing programs)</t>
  </si>
  <si>
    <t>Corn, Wheat, Rice, Oats, Potatoes</t>
  </si>
  <si>
    <t>Snack company spun from Kellogg's (2023). Responsible sourcing programs with farmers but limited direct ownership. Focus on commodity grains for snacks. Source: Kellanova Annual Reports.</t>
  </si>
  <si>
    <t>DoorDash</t>
  </si>
  <si>
    <t>Food delivery platform</t>
  </si>
  <si>
    <t>USA, Canada, Australia, Japan (no farming)</t>
  </si>
  <si>
    <t>N/A (delivery platform)</t>
  </si>
  <si>
    <t>Food delivery platform. No direct involvement in food production or farming. Not relevant for biostimulant partnerships. Source: DoorDash Annual Reports.</t>
  </si>
  <si>
    <t>Darden Restaurants</t>
  </si>
  <si>
    <t>Casual dining restaurant company</t>
  </si>
  <si>
    <t>USA, Canada (no direct farming)</t>
  </si>
  <si>
    <t>Seafood, Produce (sourced)</t>
  </si>
  <si>
    <t>US restaurant company (Olive Garden, LongHorn Steakhouse). No direct farming - sources from suppliers. Source: Darden Annual Reports.</t>
  </si>
  <si>
    <t>Bid Corp</t>
  </si>
  <si>
    <t>South Africa, UK, Australasia, Europe</t>
  </si>
  <si>
    <t>Global foodservice distributor (spun from Bid Corporation). Strong in South Africa, UK, Australasia. No direct farming. Source: Bidcorp Annual Reports.</t>
  </si>
  <si>
    <t>Cocoa &amp; chocolate manufacturer</t>
  </si>
  <si>
    <t>Côte d'Ivoire, Ghana, Indonesia, Brazil (cocoa sourcing)</t>
  </si>
  <si>
    <t>Cocoa, Chocolate</t>
  </si>
  <si>
    <t>[WATCH LIST] World's largest cocoa processor and chocolate manufacturer (B2B). Forever Chocolate program involves direct farmer relationships. Strong influence over cocoa farming practices. Source: Barry Callebaut Annual Reports.</t>
  </si>
  <si>
    <t>Mengniu Dairy</t>
  </si>
  <si>
    <t>Dairy company</t>
  </si>
  <si>
    <t>China, Australia, New Zealand</t>
  </si>
  <si>
    <t>Dairy, Pasture</t>
  </si>
  <si>
    <t>China's largest dairy company. Owns some dairy farms and works with farmer suppliers. Focus on fluid milk, yogurt, ice cream. Source: Mengniu Annual Reports.</t>
  </si>
  <si>
    <t>Hormel Foods</t>
  </si>
  <si>
    <t>Food manufacturer/processor</t>
  </si>
  <si>
    <t>USA (primarily), limited international</t>
  </si>
  <si>
    <t>Pork, Turkey, Nuts, Vegetables</t>
  </si>
  <si>
    <t>[REMOVED] US food company (SPAM, Jennie-O turkey, Planters nuts, Skippy). Integrated turkey operations (Jennie-O). Some direct agricultural involvement. Source: Hormel Foods Annual Reports.</t>
  </si>
  <si>
    <t>Chipotle Mexican Grill</t>
  </si>
  <si>
    <t>Fast-casual restaurant</t>
  </si>
  <si>
    <t>USA, Canada, UK, Europe (no direct farming)</t>
  </si>
  <si>
    <t>Avocados, Peppers, Tomatoes, Beef, Rice (sourced)</t>
  </si>
  <si>
    <t>Fast-casual restaurant chain with strong sustainability focus. Responsible sourcing programs, "Food with Integrity". Could influence suppliers but no direct farming. Source: Chipotle Annual Reports.</t>
  </si>
  <si>
    <t>Yum China</t>
  </si>
  <si>
    <t>China (KFC, Pizza Hut, Taco Bell operations)</t>
  </si>
  <si>
    <t>Poultry, Vegetables, Wheat (sourced)</t>
  </si>
  <si>
    <t>Largest restaurant company in China (KFC, Pizza Hut). No direct farming - sources from suppliers. Chinese regulatory complexity. Source: Yum China Annual Reports.</t>
  </si>
  <si>
    <t>The Hershey Company</t>
  </si>
  <si>
    <t>Chocolate &amp; confectionery manufacturer</t>
  </si>
  <si>
    <t>Côte d'Ivoire, Ghana (cocoa sourcing programs)</t>
  </si>
  <si>
    <t>Cocoa, Sugar, Dairy, Nuts</t>
  </si>
  <si>
    <t>US chocolate company. Cocoa For Good program involves farmer relationships in West Africa. Limited direct land ownership. Source: Hershey Annual Reports.</t>
  </si>
  <si>
    <t>Conagra Brands</t>
  </si>
  <si>
    <t>Packaged food manufacturer</t>
  </si>
  <si>
    <t>USA (primarily)</t>
  </si>
  <si>
    <t>Vegetables, Tomatoes, Potatoes, Wheat, Poultry</t>
  </si>
  <si>
    <t>US packaged food company (Birds Eye, Healthy Choice, Duncan Hines, Slim Jim). Some contract growing for vegetables. Source: Conagra Annual Reports.</t>
  </si>
  <si>
    <t>Campbell's</t>
  </si>
  <si>
    <t>Tomatoes, Vegetables, Wheat, Potatoes</t>
  </si>
  <si>
    <t>US food company (Campbell's Soup, Pepperidge Farm, V8). Contract growing programs for tomatoes and vegetables. Source: Campbell's Annual Reports.</t>
  </si>
  <si>
    <t>Südzucker</t>
  </si>
  <si>
    <t>Germany</t>
  </si>
  <si>
    <t>Sugar &amp; food ingredients producer</t>
  </si>
  <si>
    <t>Germany, France, Belgium, Poland, UK (sugar beet)</t>
  </si>
  <si>
    <t>Sugar beet, Bioethanol feedstocks</t>
  </si>
  <si>
    <t>[REMOVED] Europe's largest sugar producer. Works with contracted sugar beet farmers across EU. Strong influence over farming practices. EU biostimulant regulation provides clear pathway. Source: Südzucker Annual Reports.</t>
  </si>
  <si>
    <t>Ajinomoto</t>
  </si>
  <si>
    <t>Food &amp; amino acid manufacturer</t>
  </si>
  <si>
    <t>Japan, Thailand, Brazil, Vietnam (various operations)</t>
  </si>
  <si>
    <t>Amino acids, MSG, Seasonings (sugar cane, tapioca)</t>
  </si>
  <si>
    <t>[REMOVED] Japanese company - world leader in amino acids and seasonings. Some integrated agricultural operations for raw materials (sugar cane for fermentation). Source: Ajinomoto Annual Reports.</t>
  </si>
  <si>
    <t>Decision Matrix - Target Partners (Top 51-100 food companies globally)</t>
  </si>
  <si>
    <t>Top 51-100 food companies in the world</t>
  </si>
  <si>
    <t>Lactalis</t>
  </si>
  <si>
    <t>Europe</t>
  </si>
  <si>
    <t>France, Italy, USA, Spain (dairy sourcing)</t>
  </si>
  <si>
    <t>Dairy (milk, cheese, yogurt)</t>
  </si>
  <si>
    <t>Tier 3</t>
  </si>
  <si>
    <t>World's largest dairy company (private). Owns Parmalat, Président, Galbani. Sources from dairy farmers across Europe/US. Limited direct farm ownership. Source: Lactalis company information.</t>
  </si>
  <si>
    <t>Ferrero</t>
  </si>
  <si>
    <t>Other</t>
  </si>
  <si>
    <t>Confectionery manufacturer</t>
  </si>
  <si>
    <t>Turkey, Italy, Chile (hazelnut operations)</t>
  </si>
  <si>
    <t>Hazelnuts, Cocoa, Palm oil, Sugar</t>
  </si>
  <si>
    <t>Tier 1</t>
  </si>
  <si>
    <t xml:space="preserve">[WATCH LIST] </t>
  </si>
  <si>
    <t>Perdue Farms</t>
  </si>
  <si>
    <t>North America</t>
  </si>
  <si>
    <t>USA (East Coast poultry operations)</t>
  </si>
  <si>
    <t>Tier 2</t>
  </si>
  <si>
    <t>[REMOVED] Major US poultry producer (private). Integrated operations - hatcheries, feed mills, processing. Contract grower model. Source: Perdue Farms website.</t>
  </si>
  <si>
    <t>Suntory</t>
  </si>
  <si>
    <t>Asia</t>
  </si>
  <si>
    <t>Beverage conglomerate</t>
  </si>
  <si>
    <t>Japan, USA, Europe (limited direct farming)</t>
  </si>
  <si>
    <t>Barley, Grapes (whisky, wine), Tea</t>
  </si>
  <si>
    <t>Japanese beverage giant (Beam Suntory whisky, soft drinks). Some vineyard ownership. Sources barley, botanicals. Source: Suntory Annual Reports.</t>
  </si>
  <si>
    <t>Meiji Holdings</t>
  </si>
  <si>
    <t>Dairy &amp; confectionery manufacturer</t>
  </si>
  <si>
    <t>Japan, China, SE Asia</t>
  </si>
  <si>
    <t>Dairy, Cocoa, Sugar</t>
  </si>
  <si>
    <t>Japanese dairy and confectionery company. Meiji Bulgaria yogurt, chocolate. Sources from dairy farmers. Source: Meiji Holdings Annual Reports.</t>
  </si>
  <si>
    <t>Del Monte Foods</t>
  </si>
  <si>
    <t>USA, Philippines, Kenya, Costa Rica (plantations)</t>
  </si>
  <si>
    <t>Pineapples, Bananas, Tomatoes, Vegetables</t>
  </si>
  <si>
    <t>Vertically integrated "farm to store". Owns pineapple/banana plantations in Philippines, Kenya, Costa Rica. Strong integration model. Source: Del Monte Pacific Annual Reports.</t>
  </si>
  <si>
    <t>Dole Food Company</t>
  </si>
  <si>
    <t>Honduras, Costa Rica, Ecuador, Philippines (plantations)</t>
  </si>
  <si>
    <t>Bananas, Pineapples, Berries, Fresh vegetables</t>
  </si>
  <si>
    <t>World's largest producer of fruits/vegetables. Owns extensive plantations in Latin America, Philippines. Highly integrated fresh produce. Source: Dole plc Annual Reports.</t>
  </si>
  <si>
    <t>Guatemala, Honduras, Panama, Costa Rica, Ecuador</t>
  </si>
  <si>
    <t>Major banana producer (owned by Cutrale-Safra). Owns plantations across Central/South America. Strong vertical integration. Source: Chiquita company information.</t>
  </si>
  <si>
    <t>Syngenta Group</t>
  </si>
  <si>
    <t>Agrochemical &amp; seeds company</t>
  </si>
  <si>
    <t>Global (R&amp;D farms, demonstration sites)</t>
  </si>
  <si>
    <t>Seeds, Crop protection (all major crops)</t>
  </si>
  <si>
    <t>Major agrochemical company (owned by ChemChina). Could be strategic partner for biostimulant distribution. Strong farmer relationships globally. Source: Syngenta Annual Reports.</t>
  </si>
  <si>
    <t>Corteva Agriscience</t>
  </si>
  <si>
    <t>Seeds, Crop protection (corn, soy, wheat)</t>
  </si>
  <si>
    <t>Major ag company (spun from DowDuPont). Pioneer seeds, crop protection. Potential distribution partner. Source: Corteva Annual Reports.</t>
  </si>
  <si>
    <t>Ingredion</t>
  </si>
  <si>
    <t>Ingredient solutions provider</t>
  </si>
  <si>
    <t>USA, Mexico, Brazil, Thailand, Pakistan</t>
  </si>
  <si>
    <t>Corn, Tapioca, Potatoes (starches)</t>
  </si>
  <si>
    <t>Global ingredient company - starches, sweeteners. Sources corn and tapioca. Some direct farmer programs. Source: Ingredion Annual Reports.</t>
  </si>
  <si>
    <t>McCormick &amp; Company</t>
  </si>
  <si>
    <t>Spice &amp; flavor manufacturer</t>
  </si>
  <si>
    <t>Vietnam, India, Indonesia, Madagascar (spice sourcing)</t>
  </si>
  <si>
    <t>Pepper, Vanilla, Cinnamon, Herbs, Spices</t>
  </si>
  <si>
    <t>World's largest spice company. Direct farmer sourcing programs in origins. High-value specialty crops. Sustainable sourcing commitments. Source: McCormick Annual Reports.</t>
  </si>
  <si>
    <t>J.M. Smucker</t>
  </si>
  <si>
    <t>USA, Canada (limited direct farming)</t>
  </si>
  <si>
    <t>Coffee, Peanuts, Fruits (jams)</t>
  </si>
  <si>
    <t>Tier 4</t>
  </si>
  <si>
    <t>US food company (Folgers coffee, Jif peanut butter, Smucker's jams). Sources from farmers. Limited direct farming. Source: J.M. Smucker Annual Reports.</t>
  </si>
  <si>
    <t>TreeHouse Foods</t>
  </si>
  <si>
    <t>Private label food manufacturer</t>
  </si>
  <si>
    <t>USA, Canada, Italy</t>
  </si>
  <si>
    <t>Vegetables, Fruits, Nuts, Coffee</t>
  </si>
  <si>
    <t>Major US private label food manufacturer. Supplies retailers with store brands. Sources ingredients from suppliers. Source: TreeHouse Foods Annual Reports.</t>
  </si>
  <si>
    <t>Post Holdings</t>
  </si>
  <si>
    <t>Consumer packaged goods</t>
  </si>
  <si>
    <t>Wheat, Corn, Oats (cereals), Eggs</t>
  </si>
  <si>
    <t>US food company - cereals (Post), eggs (Michael Foods - large egg producer). Michael Foods division has significant egg production integration. Source: Post Holdings Annual Reports.</t>
  </si>
  <si>
    <t>Cal-Maine Foods</t>
  </si>
  <si>
    <t>Integrated egg producer</t>
  </si>
  <si>
    <t>USA (egg operations)</t>
  </si>
  <si>
    <t>Eggs, Animal feed</t>
  </si>
  <si>
    <t>Largest US egg producer. Owns layer hen facilities, feed mills, processing. Fully integrated egg production. Source: Cal-Maine Foods Annual Reports.</t>
  </si>
  <si>
    <t>Sanderson Farms</t>
  </si>
  <si>
    <t>USA (Southern states)</t>
  </si>
  <si>
    <t>Poultry, Animal feed</t>
  </si>
  <si>
    <t>Major US chicken producer (now part of Wayne-Sanderson). Integrated operations - hatcheries, feed, processing. Source: Sanderson Farms historical reports.</t>
  </si>
  <si>
    <t>Lamb Weston</t>
  </si>
  <si>
    <t>Frozen potato processor</t>
  </si>
  <si>
    <t>USA, Netherlands, Argentina, Australia, China</t>
  </si>
  <si>
    <t>Potatoes (processing varieties)</t>
  </si>
  <si>
    <t>[REMOVED] Global leader in frozen potato products (fries). Works with contract potato growers. Strong influence over farming practices. Supplies McDonald's globally. Source: Lamb Weston Annual Reports.</t>
  </si>
  <si>
    <t>McCain Foods</t>
  </si>
  <si>
    <t>Canada, USA, UK, Netherlands, Argentina, Australia</t>
  </si>
  <si>
    <t>Potatoes</t>
  </si>
  <si>
    <t>[REMOVED] World's largest frozen potato processor (private). Works with ~4,500 potato growers globally. Strong farmer relationships. Source: McCain Foods company information.</t>
  </si>
  <si>
    <t>Gruma</t>
  </si>
  <si>
    <t>Latin America</t>
  </si>
  <si>
    <t>Corn flour &amp; tortilla producer</t>
  </si>
  <si>
    <t>Mexico, USA, Central America, Europe</t>
  </si>
  <si>
    <t>Corn (white and yellow)</t>
  </si>
  <si>
    <t>[REMOVED] World's largest tortilla producer (Mission brand). Works with corn farmers in Mexico, US. Some direct sourcing programs. Source: Gruma Annual Reports.</t>
  </si>
  <si>
    <t>Sigma Alimentos</t>
  </si>
  <si>
    <t>Processed meats &amp; dairy</t>
  </si>
  <si>
    <t>Mexico, USA, Europe (sourcing)</t>
  </si>
  <si>
    <t>Pork, Beef, Dairy</t>
  </si>
  <si>
    <t>Major Mexican food company - processed meats, dairy, other foods. Sources from farmers/ranchers. Source: Sigma Alimentos Annual Reports.</t>
  </si>
  <si>
    <t>BRF S.A.</t>
  </si>
  <si>
    <t>Integrated protein processor</t>
  </si>
  <si>
    <t>Brazil, Middle East, Asia (poultry, pork)</t>
  </si>
  <si>
    <t>Poultry, Pork, Animal feed</t>
  </si>
  <si>
    <t>Major Brazilian protein company (Sadia, Perdigão brands). Integrated poultry and pork operations. Contract grower model. Source: BRF Annual Reports.</t>
  </si>
  <si>
    <t>Minerva Foods</t>
  </si>
  <si>
    <t>Beef processor</t>
  </si>
  <si>
    <t>Brazil, Paraguay, Uruguay, Argentina, Colombia</t>
  </si>
  <si>
    <t>Beef, Animal feed</t>
  </si>
  <si>
    <t>Major South American beef exporter. Operates slaughterhouses, some cattle operations. Focus on beef exports to Asia, Middle East. Source: Minerva Foods Annual Reports.</t>
  </si>
  <si>
    <t>Brazil (extensive farmland)</t>
  </si>
  <si>
    <t>One of Brazil's largest farming companies. Owns/operates ~700,000+ ha of farmland. Highly integrated row crop production. Excellent biostimulant target. Source: SLC Agrícola Annual Reports.</t>
  </si>
  <si>
    <t>Argentina, Brazil, Uruguay (farmland)</t>
  </si>
  <si>
    <t>Sugar cane, Grains, Dairy, Rice</t>
  </si>
  <si>
    <t>Owns ~230,000 ha farmland in South America. Sugar mills, dairy farms, grain operations. Highly integrated agricultural company. Source: Adecoagro Annual Reports.</t>
  </si>
  <si>
    <t>Cresud</t>
  </si>
  <si>
    <t>Agricultural land company</t>
  </si>
  <si>
    <t>Argentina, Brazil, Paraguay, Bolivia</t>
  </si>
  <si>
    <t>Soybeans, Corn, Wheat, Cattle</t>
  </si>
  <si>
    <t>Major South American farmland company. Owns ~800,000+ ha. Row crops and cattle operations. Parent of IRSA. Source: Cresud Annual Reports.</t>
  </si>
  <si>
    <t>San Miguel Corporation</t>
  </si>
  <si>
    <t>Philippines</t>
  </si>
  <si>
    <t>Diversified conglomerate</t>
  </si>
  <si>
    <t>Philippines, SE Asia</t>
  </si>
  <si>
    <t>[REMOVED] Philippine conglomerate - food, beverages, infrastructure. San Miguel Foods is integrated poultry/pork producer. Complex business structure. Source: San Miguel Annual Reports.</t>
  </si>
  <si>
    <t>Indofood Sukses Makmur</t>
  </si>
  <si>
    <t>Indonesia</t>
  </si>
  <si>
    <t>Indonesia (palm, noodles, dairy)</t>
  </si>
  <si>
    <t>Palm oil, Wheat (noodles), Sugar</t>
  </si>
  <si>
    <t>[REMOVED] Indonesia's largest food company. Owns palm plantations (via Salim Ivomas Pratama), flour mills, noodle factories. Integrated in palm. Source: Indofood Annual Reports.</t>
  </si>
  <si>
    <t>Japfa Ltd</t>
  </si>
  <si>
    <t>Integrated protein producer</t>
  </si>
  <si>
    <t>Indonesia, Vietnam, Myanmar, India</t>
  </si>
  <si>
    <t>Poultry, Swine, Aquaculture, Animal feed</t>
  </si>
  <si>
    <t>SE Asian protein company. Integrated feed-farm-food operations in poultry, swine, aquaculture. Strong presence in Indonesia, Vietnam. Source: Japfa Annual Reports.</t>
  </si>
  <si>
    <t>Vinamilk</t>
  </si>
  <si>
    <t>Vietnam</t>
  </si>
  <si>
    <t>Vietnam, Cambodia, Laos (dairy farms)</t>
  </si>
  <si>
    <t>Vietnam's largest dairy company. Owns dairy farms (~40,000 cows). Integrated from farm to consumer. Source: Vinamilk Annual Reports.</t>
  </si>
  <si>
    <t>Thai Union Group</t>
  </si>
  <si>
    <t>Seafood processor</t>
  </si>
  <si>
    <t>Thailand, Vietnam, USA, Europe (seafood)</t>
  </si>
  <si>
    <t>Shrimp, Tuna, Pet food (fish meal)</t>
  </si>
  <si>
    <t>World's largest canned tuna producer (Chicken of the Sea, John West). Some shrimp farms. Seafood focus. Source: Thai Union Annual Reports.</t>
  </si>
  <si>
    <t>Maruha Nichiro</t>
  </si>
  <si>
    <t>Seafood &amp; food processor</t>
  </si>
  <si>
    <t>Japan, USA, Chile, NZ (seafood/salmon)</t>
  </si>
  <si>
    <t>Salmon, Seafood, Processed foods</t>
  </si>
  <si>
    <t>Major Japanese seafood company. Operates salmon farms, seafood processing. Focus on marine products. Source: Maruha Nichiro Annual Reports.</t>
  </si>
  <si>
    <t>Nissui (Nippon Suisan)</t>
  </si>
  <si>
    <t>Japan, Chile, USA (seafood operations)</t>
  </si>
  <si>
    <t>Major Japanese seafood company. Salmon farming in Chile. Seafood processing globally. Source: Nissui Annual Reports.</t>
  </si>
  <si>
    <t>Mowi ASA</t>
  </si>
  <si>
    <t>Norway</t>
  </si>
  <si>
    <t>Integrated salmon producer</t>
  </si>
  <si>
    <t>Norway, Scotland, Chile, Canada, Ireland</t>
  </si>
  <si>
    <t>Atlantic salmon</t>
  </si>
  <si>
    <t>World's largest Atlantic salmon producer. Fully integrated - hatcheries, sea farms, processing. Strong sustainability focus. Excellent biostimulant partner for aquafeed. Source: Mowi Annual Reports.</t>
  </si>
  <si>
    <t>SalMar ASA</t>
  </si>
  <si>
    <t>Norway, Iceland, Scotland</t>
  </si>
  <si>
    <t>Major Norwegian salmon producer. Integrated operations from smolt to processing. Strong innovation focus. Source: SalMar Annual Reports.</t>
  </si>
  <si>
    <t>Lerøy Seafood</t>
  </si>
  <si>
    <t>Integrated seafood producer</t>
  </si>
  <si>
    <t>Norway, Scotland (salmon, whitefish)</t>
  </si>
  <si>
    <t>Salmon, Trout, Whitefish</t>
  </si>
  <si>
    <t>Major Norwegian seafood company. Integrated salmon and trout farming. Also whitefish processing. Source: Lerøy Seafood Annual Reports.</t>
  </si>
  <si>
    <t>Austevoll Seafood</t>
  </si>
  <si>
    <t>Integrated seafood/fishmeal producer</t>
  </si>
  <si>
    <t>Norway, Peru, Chile (salmon, fishmeal)</t>
  </si>
  <si>
    <t>Salmon, Fishmeal, Fish oil</t>
  </si>
  <si>
    <t>Norwegian seafood holding. Owns Lerøy stake. Major fishmeal producer in Peru. Integrated operations. Source: Austevoll Seafood Annual Reports.</t>
  </si>
  <si>
    <t>Cooke Aquaculture</t>
  </si>
  <si>
    <t>Integrated aquaculture producer</t>
  </si>
  <si>
    <t>Canada, USA, Chile, Scotland, Spain</t>
  </si>
  <si>
    <t>Salmon, Sea bass, Sea bream</t>
  </si>
  <si>
    <t>Major Atlantic salmon producer (private). Integrated operations across multiple species. Family-owned. Source: Cooke Aquaculture company information.</t>
  </si>
  <si>
    <t>Belgium, Netherlands, Spain, Poland, USA</t>
  </si>
  <si>
    <t>Fresh fruits, Vegetables, Frozen produce</t>
  </si>
  <si>
    <t>Major European fresh produce supplier. Works with grower networks. Supplies retailers. Some owned growing operations. EU biostimulant-friendly. Source: Greenyard Annual Reports.</t>
  </si>
  <si>
    <t>Total Produce (Dole plc)</t>
  </si>
  <si>
    <t>Fresh produce distributor</t>
  </si>
  <si>
    <t>Europe, USA, South Africa (fresh produce)</t>
  </si>
  <si>
    <t>Fresh fruits, Vegetables</t>
  </si>
  <si>
    <t>Now part of Dole plc. Major fresh produce distributor in Europe/US. Works with grower networks. Source: Dole plc Annual Reports.</t>
  </si>
  <si>
    <t>USA, Mexico, Peru, Spain, Morocco, Australia</t>
  </si>
  <si>
    <t>World's largest berry producer (private). Works with independent growers using Driscoll's genetics. High-value crops with quality premiums. Strong farmer relationships. Source: Driscoll's company information.</t>
  </si>
  <si>
    <t>Table grape/stone fruit producer</t>
  </si>
  <si>
    <t>USA, Chile, Peru, South Africa, Australia, Spain</t>
  </si>
  <si>
    <t>Table grapes, Stone fruits (proprietary varieties)</t>
  </si>
  <si>
    <t>Premium fruit IP company. Licenses proprietary grape/stone fruit varieties to growers globally. Strong influence over farming practices. Source: Sun World company information.</t>
  </si>
  <si>
    <t>Oceania</t>
  </si>
  <si>
    <t>Kiwifruit marketer</t>
  </si>
  <si>
    <t>New Zealand, Italy, France, Japan, Korea</t>
  </si>
  <si>
    <t>Kiwifruit (green, gold, red)</t>
  </si>
  <si>
    <t>World's largest kiwifruit marketer. Works with NZ growers (cooperative model). High-value fruit with premium positioning. Strong sustainability programs. Source: Zespri Annual Reports.</t>
  </si>
  <si>
    <t>T&amp;G Global (Turners &amp; Growers)</t>
  </si>
  <si>
    <t>New Zealand, Australia, USA, Europe</t>
  </si>
  <si>
    <t>NZ fresh produce company. Owns orchards, proprietary apple varieties (Jazz, Envy). Integrated operations. Source: T&amp;G Global Annual Reports.</t>
  </si>
  <si>
    <t>Australia, Morocco, China</t>
  </si>
  <si>
    <t>Berries, Tomatoes, Avocados, Citrus, Mushrooms</t>
  </si>
  <si>
    <t>Australia's largest fresh produce company. Owns farms across multiple categories. Highly integrated. Australia has excellent biostimulant pathways. Source: Costa Group Annual Reports.</t>
  </si>
  <si>
    <t>New Zealand, Australia</t>
  </si>
  <si>
    <t>Major NZ kiwifruit/avocado grower and post-harvest operator. Owns orchards. Strong integration in NZ horticulture. Source: Seeka Annual Reports.</t>
  </si>
  <si>
    <t>Fresh produce importer</t>
  </si>
  <si>
    <t>Costa Rica, Honduras, Colombia, Ecuador (bananas)</t>
  </si>
  <si>
    <t>Major European banana importer (owned by Sumitomo). Owns banana farms in Central America. Source: Fyffes/Sumitomo company information.</t>
  </si>
  <si>
    <t>Costa Rica, Guatemala, Kenya, Philippines (plantations)</t>
  </si>
  <si>
    <t>Major fresh produce company (separate from Del Monte Foods). Owns plantations. Vertically integrated. Source: Fresh Del Monte Annual Reports.</t>
  </si>
  <si>
    <t>USA (California), Mexico, Peru, Colombia</t>
  </si>
  <si>
    <t>World's largest avocado distributor. Owns farms in California, Peru. High-value crop. Strong grower relationships. Source: Mission Produce Annual Reports.</t>
  </si>
  <si>
    <t>Calavo Growers</t>
  </si>
  <si>
    <t>Avocado/fresh food company</t>
  </si>
  <si>
    <t>USA, Mexico</t>
  </si>
  <si>
    <t>Avocados, Tomatoes, Guacamole</t>
  </si>
  <si>
    <t>Major avocado handler/processor. Works with avocado growers in California, Mexico. Fresh and prepared foods. Source: Calavo Growers Annual Reports.</t>
  </si>
  <si>
    <t>Top 101-150 food companies in the world</t>
  </si>
  <si>
    <t>Vegetable processor</t>
  </si>
  <si>
    <t>France, Hungary, Poland, Russia, USA, Canada</t>
  </si>
  <si>
    <t>Peas, Corn, Beans, Carrots, Spinach</t>
  </si>
  <si>
    <t>[REMOVED] European leader in processed vegetables. Works with contract growers across Europe. Strong EU presence with clear biostimulant pathways. Source: Bonduelle Annual Reports.</t>
  </si>
  <si>
    <t>USA (Florida citrus groves)</t>
  </si>
  <si>
    <t>Florida citrus cooperative (Florida's Natural brand). Grower-owned. Integrated citrus operations. High-value crop facing greening disease pressure. Source: Florida's Natural company information.</t>
  </si>
  <si>
    <t>USA (California, Arizona citrus)</t>
  </si>
  <si>
    <t>Major US citrus cooperative. ~2,000 grower members. Strong brand, influence over farming practices. Source: Sunkist company information.</t>
  </si>
  <si>
    <t>USA (California almonds)</t>
  </si>
  <si>
    <t>World's largest almond processor. Cooperative of ~3,000 California growers. High-value tree nuts. Strong influence over farming practices. Source: Blue Diamond company information.</t>
  </si>
  <si>
    <t>Diamond Foods (Snyder's-Lance)</t>
  </si>
  <si>
    <t>Snack food manufacturer</t>
  </si>
  <si>
    <t>USA (walnut sourcing)</t>
  </si>
  <si>
    <t>Walnuts, Snack ingredients</t>
  </si>
  <si>
    <t>Walnut processor (now part of Campbell's via Snyder's-Lance). Sources from California walnut growers. Source: Campbell's Annual Reports.</t>
  </si>
  <si>
    <t>USA (California pistachios)</t>
  </si>
  <si>
    <t>Major California pistachio processor. Owns orchards and works with growers. High-value tree nuts. Source: Setton Pistachio company information.</t>
  </si>
  <si>
    <t>Wonderful Company (Paramount Farms)</t>
  </si>
  <si>
    <t>USA (California - extensive orchards)</t>
  </si>
  <si>
    <t>Owns 120,000+ acres of orchards in California. Wonderful Pistachios, POM Wonderful, Halos mandarins. Highly integrated, high-value crops. Excellent target. Source: Wonderful Company information.</t>
  </si>
  <si>
    <t>USA, Canada, Chile (cranberry bogs)</t>
  </si>
  <si>
    <t>World's largest cranberry cooperative. ~700 grower families. Strong influence over farming practices. High-value berries. Source: Ocean Spray company information.</t>
  </si>
  <si>
    <t>USA (Concord grape regions)</t>
  </si>
  <si>
    <t>Concord grapes, Niagara grapes</t>
  </si>
  <si>
    <t>Grape cooperative (National Grape Cooperative). ~900 grower families. Welch's brand. Source: Welch's company information.</t>
  </si>
  <si>
    <t>USA (Washington State apples)</t>
  </si>
  <si>
    <t>Apple grower cooperative in Washington State. ~1,100 grower members. Apple juice, applesauce. Source: TreeTop company information.</t>
  </si>
  <si>
    <t>USA (Washington State)</t>
  </si>
  <si>
    <t>Major Washington State tree fruit grower. Owns orchards, packing facilities. Premium fruit varieties. Family-owned. Source: Stemilt company information.</t>
  </si>
  <si>
    <t>Major apple grower/marketer. Owns orchards, manages proprietary varieties. Premium apple focus. Source: CMI Orchards company information.</t>
  </si>
  <si>
    <t>Oppy (Oppenheimer Group)</t>
  </si>
  <si>
    <t>Fresh produce marketer</t>
  </si>
  <si>
    <t>USA, Chile, Peru, Mexico, South Africa</t>
  </si>
  <si>
    <t>Berries, Grapes, Citrus, Avocados, Apples</t>
  </si>
  <si>
    <t>Major fresh produce marketer. Works with growers globally. Premium fruit focus. Source: Oppy company information.</t>
  </si>
  <si>
    <t>USA, Mexico, Peru, Chile, Argentina</t>
  </si>
  <si>
    <t>Major berry producer (joint venture). Owns farms and works with growers. High-value berry focus. Source: Naturipe company information.</t>
  </si>
  <si>
    <t>Canada, USA, Mexico (greenhouses)</t>
  </si>
  <si>
    <t>Major greenhouse vegetable producer (SUNSET brand). Owns greenhouses in Ontario, Michigan, Mexico. High-tech controlled environment. Source: Mastronardi company information.</t>
  </si>
  <si>
    <t>Village Farms International</t>
  </si>
  <si>
    <t>Greenhouse vegetable producer. Owns facilities in Texas, British Columbia, Mexico. Also cannabis operations. Source: Village Farms Annual Reports.</t>
  </si>
  <si>
    <t>AppHarvest</t>
  </si>
  <si>
    <t>Indoor/greenhouse farming</t>
  </si>
  <si>
    <t>USA (Kentucky)</t>
  </si>
  <si>
    <t>Tomatoes, Leafy greens (indoor)</t>
  </si>
  <si>
    <t>Indoor farming company with large greenhouses in Kentucky. Controlled environment agriculture. Note: Has faced financial challenges. Source: AppHarvest Annual Reports.</t>
  </si>
  <si>
    <t>Revol Greens</t>
  </si>
  <si>
    <t>Greenhouse leafy greens</t>
  </si>
  <si>
    <t>USA (Minnesota, Texas)</t>
  </si>
  <si>
    <t>Lettuce, Leafy greens (greenhouse)</t>
  </si>
  <si>
    <t>Large-scale greenhouse lettuce producer. Multiple facilities in US. Controlled environment. Source: Revol Greens company information.</t>
  </si>
  <si>
    <t>Mucci Farms</t>
  </si>
  <si>
    <t>Canada, USA (Ontario, Ohio)</t>
  </si>
  <si>
    <t>Tomatoes, Peppers, Cucumbers, Strawberries (greenhouse)</t>
  </si>
  <si>
    <t>Major greenhouse vegetable producer. Large facilities in Ontario and Ohio. Family-owned. Source: Mucci Farms company information.</t>
  </si>
  <si>
    <t>Canada, USA (Ontario, Ohio, Texas)</t>
  </si>
  <si>
    <t>Large greenhouse vegetable producer. Multiple facilities in North America. Significant expansion. Source: NatureFresh Farms company information.</t>
  </si>
  <si>
    <t>Canada, USA, Mexico</t>
  </si>
  <si>
    <t>Major greenhouse vegetable company. Large facilities in British Columbia, California, Mexico. Source: Windset Farms company information.</t>
  </si>
  <si>
    <t>Houweling's Tomatoes</t>
  </si>
  <si>
    <t>Greenhouse tomato producer</t>
  </si>
  <si>
    <t>Canada, USA (BC, California, Utah)</t>
  </si>
  <si>
    <t>Tomatoes (greenhouse)</t>
  </si>
  <si>
    <t>Greenhouse tomato specialist. Multiple facilities. Known for sustainability. Source: Houweling's company information.</t>
  </si>
  <si>
    <t>Salads, Fresh-cut vegetables, Leafy greens</t>
  </si>
  <si>
    <t>Largest fresh-cut salad processor in North America. Works with growers. Supplies foodservice and retail. Source: Taylor Farms company information.</t>
  </si>
  <si>
    <t>USA (Florida, California, Arizona)</t>
  </si>
  <si>
    <t>Major US vegetable grower. Owns farmland in multiple states. Known for celery. Family-owned since 1926. Source: Duda company information.</t>
  </si>
  <si>
    <t>USA (California, Arizona)</t>
  </si>
  <si>
    <t>Major Salinas Valley grower. Owns 36,000+ acres. Leading romaine lettuce producer. Source: Tanimura &amp; Antle company information.</t>
  </si>
  <si>
    <t>Leafy greens, Broccoli, Cauliflower, Brussels sprouts</t>
  </si>
  <si>
    <t>Major Salinas Valley vegetable grower. Owns significant farmland. Fresh-cut processing. Source: Church Brothers company information.</t>
  </si>
  <si>
    <t>USA (California, Colorado, Washington)</t>
  </si>
  <si>
    <t>Carrots, Organic vegetables</t>
  </si>
  <si>
    <t>World's largest carrot producer. Owns 50,000+ acres. Also Cal-Organic brand. Major organic producer. Source: Grimmway company information.</t>
  </si>
  <si>
    <t>USA (California)</t>
  </si>
  <si>
    <t>Carrots, Beverages, Salad dressings</t>
  </si>
  <si>
    <t>Major carrot producer and beverage company (owned by Butterfly Equity). Integrated operations. Source: Bolthouse Farms company information.</t>
  </si>
  <si>
    <t>Bakkavor</t>
  </si>
  <si>
    <t>Fresh prepared foods</t>
  </si>
  <si>
    <t>UK, USA, China</t>
  </si>
  <si>
    <t>Salads, Fresh meals, Desserts</t>
  </si>
  <si>
    <t>UK fresh prepared foods manufacturer. Supplies major retailers. Sources from growers. Source: Bakkavor Annual Reports.</t>
  </si>
  <si>
    <t>France, UK, Spain, Italy, Switzerland</t>
  </si>
  <si>
    <t>Salads, Leafy greens, Fresh-cut vegetables</t>
  </si>
  <si>
    <t>European leader in fresh salads (part of Agrial cooperative). Works with growers across Europe. EU biostimulant-friendly. Source: Agrial/Florette company information.</t>
  </si>
  <si>
    <t>Rijk Zwaan</t>
  </si>
  <si>
    <t>Vegetable seed company</t>
  </si>
  <si>
    <t>Global (breeding/demo farms)</t>
  </si>
  <si>
    <t>Vegetable seeds (lettuce, tomato, pepper, cucumber)</t>
  </si>
  <si>
    <t>Major vegetable seed breeder. Influences growers globally through variety development. Could be strategic distribution partner. Source: Rijk Zwaan company information.</t>
  </si>
  <si>
    <t>Enza Zaden</t>
  </si>
  <si>
    <t>Vegetable seeds (tomato, pepper, cucumber, melon)</t>
  </si>
  <si>
    <t>Major vegetable seed breeder. Strong in greenhouse varieties. Global grower relationships. Source: Enza Zaden company information.</t>
  </si>
  <si>
    <t>Bejo Zaden</t>
  </si>
  <si>
    <t>Vegetable seeds (carrots, onions, cabbage, beets)</t>
  </si>
  <si>
    <t>Major vegetable seed company focused on open-field vegetables. Strong in carrots, onions, brassicas. Source: Bejo company information.</t>
  </si>
  <si>
    <t>Sakata Seed</t>
  </si>
  <si>
    <t>Seed company</t>
  </si>
  <si>
    <t>Global (breeding/demo operations)</t>
  </si>
  <si>
    <t>Vegetable and flower seeds</t>
  </si>
  <si>
    <t>Major Japanese seed company. Global vegetable and flower breeding. Influences grower practices. Source: Sakata Seed Annual Reports.</t>
  </si>
  <si>
    <t>USA (California), Chile, Argentina</t>
  </si>
  <si>
    <t>California citrus and avocado grower. Owns ~10,000 acres. Premium lemon producer. Source: Limoneira Annual Reports.</t>
  </si>
  <si>
    <t>Wonderful Citrus</t>
  </si>
  <si>
    <t>Integrated citrus producer</t>
  </si>
  <si>
    <t>USA (California, Texas)</t>
  </si>
  <si>
    <t>Mandarins (Halos), Oranges, Lemons, Grapefruit</t>
  </si>
  <si>
    <t>Part of Wonderful Company. Halos mandarins brand. Largest citrus grower in US. Integrated operations. Source: Wonderful Company information.</t>
  </si>
  <si>
    <t>California citrus grower and packer. Growing operations in San Joaquin Valley. Family-owned. Source: Bee Sweet company information.</t>
  </si>
  <si>
    <t>USA, Chile, Peru, South Africa</t>
  </si>
  <si>
    <t>Citrus, Table grapes</t>
  </si>
  <si>
    <t>Major citrus and grape marketer. Year-round supply from multiple origins. Works with growers globally. Source: DNE World Fruit company information.</t>
  </si>
  <si>
    <t>Vanguard International</t>
  </si>
  <si>
    <t>USA, Chile, Peru, Mexico</t>
  </si>
  <si>
    <t>Citrus, Grapes, Berries, Stone fruits</t>
  </si>
  <si>
    <t>Fresh produce marketing company. Works with growers in Americas. Focus on premium fruit. Source: Vanguard company information.</t>
  </si>
  <si>
    <t>Peru, Colombia, Uruguay</t>
  </si>
  <si>
    <t>Peru's largest agricultural exporter. Owns 25,000+ ha. Major blueberry and avocado producer. Highly integrated. Source: Camposol company information.</t>
  </si>
  <si>
    <t>Chile, Peru, Mexico, USA, Spain, China</t>
  </si>
  <si>
    <t>World's largest berry producer. Owns farms globally. Merged with Westfalia in berries. Source: Hortifrut Annual Reports.</t>
  </si>
  <si>
    <t>Africa</t>
  </si>
  <si>
    <t>South Africa, Chile, Peru, Colombia, Mozambique</t>
  </si>
  <si>
    <t>World leader in avocados. Owns farms in Southern Hemisphere. Global marketing. Source: Westfalia company information.</t>
  </si>
  <si>
    <t>South Africa, Namibia</t>
  </si>
  <si>
    <t>Citrus, Grapes, Apples, Pears, Stone fruits</t>
  </si>
  <si>
    <t>Major South African fruit exporter. Works with growers. Significant citrus and deciduous fruit. Source: Capespan company information.</t>
  </si>
  <si>
    <t>Unifrutti</t>
  </si>
  <si>
    <t>Chile, Philippines, Ecuador, Turkey, Italy</t>
  </si>
  <si>
    <t>Global fresh produce company. Owns farms in multiple countries. Diversified fruit portfolio. Source: Unifrutti company information.</t>
  </si>
  <si>
    <t>Chile, Peru, Brazil, Argentina, USA, South Africa</t>
  </si>
  <si>
    <t>Grapes, Citrus, Berries, Stone fruits, Apples</t>
  </si>
  <si>
    <t>Major integrated fruit company. Owns farms across Southern and Northern Hemisphere. Year-round supply model. Source: San Miguel company information.</t>
  </si>
  <si>
    <t>Major Chilean fruit producer. Focus on cherries and premium fruit for Asian markets. Source: Agricola Garces company information.</t>
  </si>
  <si>
    <t>Frutura</t>
  </si>
  <si>
    <t>USA, Mexico, Peru, Chile</t>
  </si>
  <si>
    <t>Berries, Avocados, Tomatoes, Citrus</t>
  </si>
  <si>
    <t>Fresh produce marketing company. Works with growers in Americas. Focus on berries and specialty produce. Source: Frutura company information.</t>
  </si>
  <si>
    <t>Chile, Peru</t>
  </si>
  <si>
    <t>Chilean berry producer. Owns farms in Chile and Peru. Focus on premium berries. Source: Agroberries company information.</t>
  </si>
  <si>
    <t>UK, Europe, Africa, Americas</t>
  </si>
  <si>
    <t>Berry marketing and genetics company. Proprietary varieties licensed to growers. Strong UK/EU presence. Source: BerryWorld company information.</t>
  </si>
  <si>
    <t>Driscoll's of the Americas</t>
  </si>
  <si>
    <t>Berry genetics/licensing</t>
  </si>
  <si>
    <t>USA, Mexico, Argentina, Peru, Morocco</t>
  </si>
  <si>
    <t>Strawberry, Raspberry, Blueberry, Blackberry genetics</t>
  </si>
  <si>
    <t>Berry genetics company (related to Driscoll's). Licenses proprietary berry varieties to independent growers globally. Strong influence over berry farming practices through genetic material. Source: Driscoll's company information.</t>
  </si>
  <si>
    <t>Refined List of Companies</t>
  </si>
  <si>
    <t xml:space="preserve">Key: </t>
  </si>
  <si>
    <t>Green = Current Lead, Tier 1</t>
  </si>
  <si>
    <t>Orange = Current Lead, Tier 2</t>
  </si>
  <si>
    <t>Yellow = Tier 1/2 target</t>
  </si>
  <si>
    <t>[Illovo Sugar only: 75K+ ha Africa]</t>
  </si>
  <si>
    <t>Scoring Guide</t>
  </si>
  <si>
    <t>Metric</t>
  </si>
  <si>
    <t>Score</t>
  </si>
  <si>
    <t>Definition (practical test)</t>
  </si>
  <si>
    <t>Definition (broader)</t>
  </si>
  <si>
    <t>Integration (owns/controls land + can mandate practices)</t>
  </si>
  <si>
    <t>No land control. Pure brand/manufacturer/retailer.</t>
  </si>
  <si>
    <t>No owned/controlled production. Pure buyer/brand.</t>
  </si>
  <si>
    <t>Mostly independent growers. Limited influence via buying/standards.</t>
  </si>
  <si>
    <t>Some long-term grower programs but no owned land.</t>
  </si>
  <si>
    <t>Some owned/leased estates but small share of volume; limited program standardization.</t>
  </si>
  <si>
    <t>Material owned/controlled hectares + central agronomy; can standardize on estates.</t>
  </si>
  <si>
    <t>Meaningful owned/leased land or tight grower control (multi-year); harvest data accessible.</t>
  </si>
  <si>
    <t>Large estate footprint + harvest control + packhouse/processing control + traceability.</t>
  </si>
  <si>
    <t>Can roll out a standard program across regions in 1–2 seasons; strong data and governance.</t>
  </si>
  <si>
    <t>Large owned/leased footprint; consistent agronomy/harvest data; can run multi-site trials fast.</t>
  </si>
  <si>
    <t>High-value crop exposure. Value-at-stake (crop economics + biostimulant leverage)</t>
  </si>
  <si>
    <t>Low €/ha crops with low quality premiums. Hard to justify spend.</t>
  </si>
  <si>
    <t>Mostly low-value commodities; limited margin leverage.</t>
  </si>
  <si>
    <t>Moderate €/ha but thin margins; limited grade/pack-out upside.</t>
  </si>
  <si>
    <t>Mix of commodities and some higher-value crops.</t>
  </si>
  <si>
    <t>Mixed portfolio; some high-value crops but not core.</t>
  </si>
  <si>
    <t>Meaningful high-value crops where quality/pack-out drives revenue.</t>
  </si>
  <si>
    <t>Material exposure to higher-value crops where yield/grade matters (horticulture, specialty).</t>
  </si>
  <si>
    <t>Strongly weighted to high-value horticulture (fresh produce, berries, grapes, tree crops, specialty veg).</t>
  </si>
  <si>
    <t>Premium-heavy portfolio with tight specs; small quality shifts drive big revenue per hectare.</t>
  </si>
  <si>
    <t>High concentration in high-value crops with strong quality grade economics (fresh produce, berries, specialty).</t>
  </si>
  <si>
    <t>RegEase (registration + deployability across footprint)</t>
  </si>
  <si>
    <t>Blocked / not feasible for intended use or claims right now.</t>
  </si>
  <si>
    <t>Multiple hard-to-register markets; long timelines; uncertain pathway.</t>
  </si>
  <si>
    <t>High friction: slow/uncertain pathway; expensive; restrictive.</t>
  </si>
  <si>
    <t>Some hard markets; partner has limited regulatory support.</t>
  </si>
  <si>
    <t>Challenging but possible with significant local work and time.</t>
  </si>
  <si>
    <t>Moderate: known pathway but still needs dossier + local support.</t>
  </si>
  <si>
    <t>Operates mainly in markets with clear biostimulant pathways; strong internal regulatory capacity.</t>
  </si>
  <si>
    <t>Relatively straightforward in most operating countries.</t>
  </si>
  <si>
    <t>Clear pathways + you already have (or can quickly obtain) approvals in core countries.</t>
  </si>
  <si>
    <t>Scale Potential</t>
  </si>
  <si>
    <t>Small footprint; limited acreage or fragmented operations.</t>
  </si>
  <si>
    <t>Medium footprint; scaling would require many sites.</t>
  </si>
  <si>
    <t>Large footprint or centralized decision-making across multiple farms/regions.</t>
  </si>
  <si>
    <t>Very large footprint; centralized procurement/agronomy; fast replication across regions.</t>
  </si>
  <si>
    <t>Strategic Leverage</t>
  </si>
  <si>
    <t>Low brand/reference value; limited ecosystem influence.</t>
  </si>
  <si>
    <t>Some reference value; regional influence.</t>
  </si>
  <si>
    <t>Strong category reference; opens doors to peers/traders/retailers.</t>
  </si>
  <si>
    <t>Global reference account; creates follow-on demand + strong marketing/validation value.</t>
  </si>
  <si>
    <t>Penalty: Complexity (0,-1,-2)</t>
  </si>
  <si>
    <t xml:space="preserve">Straightforward procurement + trials </t>
  </si>
  <si>
    <t>moderate complexity (multiple BUs, heavy legal);</t>
  </si>
  <si>
    <t>very complex or high risk (strong incumbent lock-in, long procurement cycles).</t>
  </si>
  <si>
    <t>Bonuses &amp; Penalty</t>
  </si>
  <si>
    <t>0–3</t>
  </si>
  <si>
    <t>Centralized procurement + willingness to sign multi-year, multi-region agreements; predictable acreage.</t>
  </si>
  <si>
    <t>0–2</t>
  </si>
  <si>
    <t>Block-level traceability, packhouse data, disciplined trials; easier to prove ROI.</t>
  </si>
  <si>
    <t>-2..0</t>
  </si>
  <si>
    <t>Risk of upsetting distributor channel or pricing conflicts. -2 = high risk.</t>
  </si>
  <si>
    <t>Top 50 food companies (publicly traded) by revenue (TTM) – grouped by HQ region</t>
  </si>
  <si>
    <t>Source: CompaniesMarketCap 'Top publicly traded food companies by revenue' (TTM). Note: this excludes large private companies (e.g., Cargill, Mars).</t>
  </si>
  <si>
    <t>Source URL</t>
  </si>
  <si>
    <t>https://companiesmarketcap.com/food/largest-food-companies-by-revenue/</t>
  </si>
  <si>
    <t>Rank</t>
  </si>
  <si>
    <t>TTM Revenue (USD B)</t>
  </si>
  <si>
    <t>Notes</t>
  </si>
  <si>
    <t>Assumptions (edit weights + tier thresholds)</t>
  </si>
  <si>
    <t>Weights (must sum to 1.0 for E–I). Penalty weight should be negative.</t>
  </si>
  <si>
    <t>Weight</t>
  </si>
  <si>
    <t>Integration / Owns Land</t>
  </si>
  <si>
    <t>High-Value Crop Exposure</t>
  </si>
  <si>
    <t>Registration Ease</t>
  </si>
  <si>
    <t>Penalty: Complexity</t>
  </si>
  <si>
    <t>Weights sum (E–I)</t>
  </si>
  <si>
    <t>Tier thresholds (Weighted Score)</t>
  </si>
  <si>
    <t>Tier 1 ≥</t>
  </si>
  <si>
    <t>Tier 2 ≥</t>
  </si>
  <si>
    <t>Tier 3 ≥</t>
  </si>
  <si>
    <t>Country</t>
  </si>
  <si>
    <t>HQ</t>
  </si>
  <si>
    <t>Type</t>
  </si>
  <si>
    <t>Reason</t>
  </si>
  <si>
    <t>Processor. No direct crop control.</t>
  </si>
  <si>
    <t>Processor. Sugar from contracted beet growers.</t>
  </si>
  <si>
    <t>Ingredient mfr. No centralized farm programs.</t>
  </si>
  <si>
    <t>Processor. Poultry, limited crop agronomy.</t>
  </si>
  <si>
    <t>Processor. No direct farm control.</t>
  </si>
  <si>
    <t>Processor. No farm-level input control.</t>
  </si>
  <si>
    <t>Processor. Buys corn from market.</t>
  </si>
  <si>
    <t>Conglomerate (PH). Poultry/pork focus.</t>
  </si>
  <si>
    <t>Conglomerate. Agriculture not core.</t>
  </si>
  <si>
    <t>Processor. Sources from independent growers.</t>
  </si>
  <si>
    <t>PRINCIPLE:</t>
  </si>
  <si>
    <t>Removed: no farm-level agronomic control at scale.</t>
  </si>
  <si>
    <t>Why Watch</t>
  </si>
  <si>
    <t>Re-entry Trigger</t>
  </si>
  <si>
    <t>200K+ farmer cocoa programs. No direct hectare control.</t>
  </si>
  <si>
    <t>If BC launches centralized input program or cocoa biostimulant trials.</t>
  </si>
  <si>
    <t>Own hazelnut farming (Agri Alba Chile, Turkey). Not yet at scale.</t>
  </si>
  <si>
    <t>When hazelnut ops reach 10K+ ha direct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</si>
</sst>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£&quot;* #,##0.00_);_(&quot;£&quot;* \(#,##0.00\);_(&quot;£&quot;* &quot;-&quot;??_);_(@_)"/>
    <numFmt numFmtId="165" formatCode="0.0"/>
    <numFmt numFmtId="166" formatCode="_([$€-2]\ * #,##0.00_);_([$€-2]\ * \(#,##0.00\);_([$€-2]\ * &quot;-&quot;??_);_(@_)"/>
    <numFmt numFmtId="167" formatCode="\€#,##0"/>
  </numFmts>
  <fonts count="57">
    <font>
      <sz val="11"/>
      <color theme="1"/>
      <name val="Calibri"/>
      <family val="2"/>
      <charset val="1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charset val="1"/>
    </font>
    <font>
      <i/>
      <sz val="10"/>
      <color rgb="FF37415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111827"/>
      <name val="Calibri"/>
      <family val="2"/>
      <charset val="1"/>
    </font>
    <font>
      <u/>
      <sz val="11"/>
      <color rgb="FF1D4ED8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1"/>
      <color theme="1"/>
      <name val="Avenir Next LT Pro"/>
      <charset val="1"/>
    </font>
    <font>
      <b/>
      <sz val="14"/>
      <color rgb="FF0F172A"/>
      <name val="Avenir Next LT Pro"/>
      <charset val="1"/>
    </font>
    <font>
      <b/>
      <sz val="11"/>
      <color rgb="FFFFFFFF"/>
      <name val="Avenir Next LT Pro"/>
      <charset val="1"/>
    </font>
    <font>
      <b/>
      <sz val="11"/>
      <color rgb="FF111827"/>
      <name val="Avenir Next LT Pro"/>
      <charset val="1"/>
    </font>
    <font>
      <strike/>
      <sz val="11"/>
      <color theme="1"/>
      <name val="Avenir Next LT Pro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1E53A3"/>
      <name val="Calibri"/>
      <family val="2"/>
      <scheme val="minor"/>
    </font>
    <font>
      <sz val="11"/>
      <color rgb="FF0F172A"/>
      <name val="Calibri"/>
      <family val="2"/>
    </font>
    <font>
      <sz val="11"/>
      <color rgb="FF0F172A"/>
      <name val="Calibri"/>
      <family val="2"/>
      <charset val="1"/>
    </font>
    <font>
      <b/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4"/>
      <color rgb="FF0F172A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9E4B4B"/>
      <name val="Arial"/>
      <family val="2"/>
    </font>
    <font>
      <i/>
      <sz val="10"/>
      <name val="Arial"/>
      <family val="2"/>
    </font>
    <font>
      <sz val="10"/>
      <color rgb="FFE09F3E"/>
      <name val="Arial"/>
      <family val="2"/>
    </font>
    <font>
      <sz val="10"/>
      <color rgb="FF9E4B4B"/>
      <name val="Arial"/>
      <family val="2"/>
    </font>
    <font>
      <sz val="10"/>
      <color rgb="FF2D6A4F"/>
      <name val="Arial"/>
      <family val="2"/>
    </font>
    <font>
      <sz val="11"/>
      <color theme="1"/>
      <name val="Calibri"/>
      <family val="2"/>
      <charset val="1"/>
    </font>
    <font>
      <b/>
      <sz val="14"/>
      <color rgb="FF1B3A5C"/>
      <name val="Arial"/>
      <family val="2"/>
    </font>
    <font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9.5"/>
      <color rgb="FF2C3E50"/>
      <name val="Arial"/>
      <family val="2"/>
    </font>
    <font>
      <b/>
      <sz val="9.5"/>
      <name val="Arial"/>
      <family val="2"/>
    </font>
    <font>
      <sz val="9.5"/>
      <name val="Arial"/>
      <family val="2"/>
    </font>
    <font>
      <sz val="8.5"/>
      <color rgb="FF555555"/>
      <name val="Arial"/>
      <family val="2"/>
    </font>
    <font>
      <b/>
      <sz val="11"/>
      <color rgb="FF1B3A5C"/>
      <name val="Arial"/>
      <family val="2"/>
    </font>
    <font>
      <sz val="9.5"/>
      <color rgb="FF333333"/>
      <name val="Arial"/>
      <family val="2"/>
    </font>
    <font>
      <b/>
      <sz val="10"/>
      <name val="Arial"/>
      <family val="2"/>
    </font>
    <font>
      <sz val="8.5"/>
      <color rgb="FF555555"/>
      <name val="Arial"/>
    </font>
    <font>
      <b/>
      <sz val="8.5"/>
      <color rgb="FFFF0000"/>
      <name val="Arial"/>
    </font>
    <font>
      <b/>
      <sz val="8"/>
      <color rgb="FF2C3E50"/>
      <name val="Arial"/>
      <family val="2"/>
    </font>
    <font>
      <b/>
      <sz val="8"/>
      <color rgb="FFFFFFFF"/>
      <name val="Arial"/>
      <family val="2"/>
    </font>
    <font>
      <b/>
      <sz val="11"/>
      <color rgb="FFFFFFFF"/>
      <name val="Arial"/>
      <charset val="1"/>
    </font>
    <font>
      <i/>
      <sz val="9.5"/>
      <color rgb="FF888888"/>
      <name val="Arial"/>
      <charset val="1"/>
    </font>
    <font>
      <b/>
      <sz val="9.5"/>
      <color rgb="FF2C3E50"/>
      <name val="Arial"/>
      <charset val="1"/>
    </font>
    <font>
      <b/>
      <sz val="9.5"/>
      <name val="Arial"/>
      <charset val="1"/>
    </font>
    <font>
      <sz val="9.5"/>
      <name val="Arial"/>
      <charset val="1"/>
    </font>
    <font>
      <sz val="8.5"/>
      <color rgb="FF555555"/>
      <name val="Arial"/>
      <charset val="1"/>
    </font>
  </fonts>
  <fills count="33">
    <fill>
      <patternFill patternType="none"/>
    </fill>
    <fill>
      <patternFill patternType="gray125"/>
    </fill>
    <fill>
      <patternFill patternType="solid">
        <fgColor theme="8" tint="0.79989013336588644"/>
        <bgColor rgb="FFDBEAFE"/>
      </patternFill>
    </fill>
    <fill>
      <patternFill patternType="solid">
        <fgColor rgb="FF1E3A8A"/>
        <bgColor rgb="FF374151"/>
      </patternFill>
    </fill>
    <fill>
      <patternFill patternType="solid">
        <fgColor rgb="FFFEFFDE"/>
        <bgColor rgb="FFFFFFFF"/>
      </patternFill>
    </fill>
    <fill>
      <patternFill patternType="solid">
        <fgColor rgb="FFDBEAFE"/>
        <bgColor rgb="FFDBEEF4"/>
      </patternFill>
    </fill>
    <fill>
      <patternFill patternType="solid">
        <fgColor rgb="FFE2E8F0"/>
        <bgColor rgb="FFDBEEF4"/>
      </patternFill>
    </fill>
    <fill>
      <patternFill patternType="solid">
        <fgColor rgb="FF0F172A"/>
        <bgColor rgb="FF111827"/>
      </patternFill>
    </fill>
    <fill>
      <patternFill patternType="solid">
        <fgColor theme="6" tint="0.59987182226020086"/>
        <bgColor rgb="FFD9D9D9"/>
      </patternFill>
    </fill>
    <fill>
      <patternFill patternType="solid">
        <fgColor theme="6" tint="0.79989013336588644"/>
        <bgColor rgb="FFE2E8F0"/>
      </patternFill>
    </fill>
    <fill>
      <patternFill patternType="solid">
        <fgColor rgb="FFFCF5AE"/>
        <bgColor rgb="FFFDEADA"/>
      </patternFill>
    </fill>
    <fill>
      <patternFill patternType="solid">
        <fgColor theme="9" tint="0.59987182226020086"/>
        <bgColor rgb="FFFDEADA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0" tint="-0.14999847407452621"/>
        <bgColor rgb="FFCBD5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4C4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EC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E4B4B"/>
      </patternFill>
    </fill>
    <fill>
      <patternFill patternType="solid">
        <fgColor rgb="FFE09F3E"/>
      </patternFill>
    </fill>
    <fill>
      <patternFill patternType="solid">
        <fgColor rgb="FF1B3A5C"/>
        <bgColor rgb="FF2C3E50"/>
      </patternFill>
    </fill>
    <fill>
      <patternFill patternType="solid">
        <fgColor rgb="FF1A5276"/>
        <bgColor rgb="FF1E53A3"/>
      </patternFill>
    </fill>
    <fill>
      <patternFill patternType="solid">
        <fgColor rgb="FFD6E4F0"/>
        <bgColor rgb="FFDCE6F2"/>
      </patternFill>
    </fill>
    <fill>
      <patternFill patternType="solid">
        <fgColor rgb="FFF2F4F7"/>
        <bgColor rgb="FFE8F5E9"/>
      </patternFill>
    </fill>
    <fill>
      <patternFill patternType="solid">
        <fgColor rgb="FFE8F5E9"/>
        <bgColor rgb="FFEBF1DE"/>
      </patternFill>
    </fill>
    <fill>
      <patternFill patternType="solid">
        <fgColor rgb="FFFFF8E1"/>
        <bgColor rgb="FFFEFFDE"/>
      </patternFill>
    </fill>
    <fill>
      <patternFill patternType="solid">
        <fgColor rgb="FFFFFDB8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0" fillId="0" borderId="0"/>
    <xf numFmtId="0" fontId="15" fillId="0" borderId="0"/>
    <xf numFmtId="164" fontId="36" fillId="0" borderId="0" applyFont="0" applyFill="0" applyBorder="0" applyAlignment="0" applyProtection="0"/>
  </cellStyleXfs>
  <cellXfs count="174">
    <xf numFmtId="0" fontId="0" fillId="0" borderId="0" xfId="0"/>
    <xf numFmtId="0" fontId="10" fillId="0" borderId="2" xfId="0" applyFont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2" borderId="0" xfId="0" applyFill="1"/>
    <xf numFmtId="0" fontId="6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2" fontId="0" fillId="5" borderId="2" xfId="0" applyNumberForma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2" fontId="0" fillId="0" borderId="0" xfId="0" applyNumberFormat="1" applyAlignment="1">
      <alignment horizontal="center" vertical="center" wrapText="1"/>
    </xf>
    <xf numFmtId="165" fontId="0" fillId="5" borderId="2" xfId="0" applyNumberForma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center" vertical="center" wrapText="1"/>
    </xf>
    <xf numFmtId="0" fontId="10" fillId="10" borderId="5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vertical="top" wrapText="1"/>
    </xf>
    <xf numFmtId="0" fontId="15" fillId="0" borderId="0" xfId="1"/>
    <xf numFmtId="0" fontId="0" fillId="16" borderId="2" xfId="0" applyFill="1" applyBorder="1" applyAlignment="1">
      <alignment vertical="top" wrapText="1"/>
    </xf>
    <xf numFmtId="0" fontId="0" fillId="18" borderId="2" xfId="0" applyFill="1" applyBorder="1" applyAlignment="1">
      <alignment vertical="top" wrapText="1"/>
    </xf>
    <xf numFmtId="0" fontId="0" fillId="19" borderId="2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0" fillId="17" borderId="0" xfId="0" applyFill="1"/>
    <xf numFmtId="0" fontId="0" fillId="0" borderId="0" xfId="0" applyAlignment="1">
      <alignment vertical="top"/>
    </xf>
    <xf numFmtId="0" fontId="19" fillId="0" borderId="0" xfId="0" applyFont="1" applyAlignment="1">
      <alignment vertical="top"/>
    </xf>
    <xf numFmtId="0" fontId="18" fillId="15" borderId="0" xfId="0" applyFont="1" applyFill="1" applyAlignment="1">
      <alignment vertical="top" wrapText="1"/>
    </xf>
    <xf numFmtId="0" fontId="18" fillId="15" borderId="0" xfId="0" applyFont="1" applyFill="1" applyAlignment="1">
      <alignment vertical="top"/>
    </xf>
    <xf numFmtId="0" fontId="17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 wrapText="1"/>
    </xf>
    <xf numFmtId="0" fontId="18" fillId="14" borderId="0" xfId="0" applyFont="1" applyFill="1" applyAlignment="1">
      <alignment vertical="top"/>
    </xf>
    <xf numFmtId="0" fontId="20" fillId="0" borderId="0" xfId="1" applyFont="1" applyAlignment="1">
      <alignment vertical="top"/>
    </xf>
    <xf numFmtId="0" fontId="3" fillId="0" borderId="0" xfId="0" applyFont="1" applyAlignment="1">
      <alignment vertical="top"/>
    </xf>
    <xf numFmtId="0" fontId="3" fillId="14" borderId="0" xfId="0" applyFont="1" applyFill="1" applyAlignment="1">
      <alignment vertical="top"/>
    </xf>
    <xf numFmtId="0" fontId="21" fillId="14" borderId="0" xfId="0" applyFont="1" applyFill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4" fillId="2" borderId="0" xfId="0" applyFont="1" applyFill="1"/>
    <xf numFmtId="0" fontId="0" fillId="0" borderId="0" xfId="0" applyAlignment="1">
      <alignment wrapText="1"/>
    </xf>
    <xf numFmtId="0" fontId="24" fillId="2" borderId="0" xfId="0" applyFont="1" applyFill="1"/>
    <xf numFmtId="0" fontId="25" fillId="2" borderId="0" xfId="0" applyFont="1" applyFill="1"/>
    <xf numFmtId="0" fontId="24" fillId="2" borderId="0" xfId="0" applyFont="1" applyFill="1" applyAlignment="1">
      <alignment horizontal="right"/>
    </xf>
    <xf numFmtId="0" fontId="25" fillId="17" borderId="0" xfId="0" applyFont="1" applyFill="1"/>
    <xf numFmtId="0" fontId="0" fillId="21" borderId="2" xfId="0" applyFill="1" applyBorder="1" applyAlignment="1">
      <alignment vertical="top" wrapText="1"/>
    </xf>
    <xf numFmtId="0" fontId="0" fillId="21" borderId="0" xfId="0" applyFill="1"/>
    <xf numFmtId="0" fontId="17" fillId="14" borderId="0" xfId="0" applyFont="1" applyFill="1" applyAlignment="1">
      <alignment vertical="top"/>
    </xf>
    <xf numFmtId="0" fontId="26" fillId="14" borderId="0" xfId="1" applyFont="1" applyFill="1" applyAlignment="1">
      <alignment vertical="top"/>
    </xf>
    <xf numFmtId="0" fontId="16" fillId="0" borderId="0" xfId="0" applyFont="1"/>
    <xf numFmtId="0" fontId="16" fillId="15" borderId="0" xfId="0" applyFont="1" applyFill="1"/>
    <xf numFmtId="0" fontId="17" fillId="0" borderId="0" xfId="0" applyFont="1" applyAlignment="1">
      <alignment vertical="top" wrapText="1"/>
    </xf>
    <xf numFmtId="0" fontId="26" fillId="0" borderId="0" xfId="1" applyFont="1" applyAlignment="1">
      <alignment vertical="top"/>
    </xf>
    <xf numFmtId="0" fontId="0" fillId="0" borderId="0" xfId="0" applyAlignment="1">
      <alignment vertical="top" wrapText="1"/>
    </xf>
    <xf numFmtId="0" fontId="27" fillId="0" borderId="0" xfId="0" applyFont="1"/>
    <xf numFmtId="0" fontId="0" fillId="22" borderId="2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14" borderId="0" xfId="0" applyFont="1" applyFill="1" applyAlignment="1">
      <alignment vertical="top" wrapText="1"/>
    </xf>
    <xf numFmtId="0" fontId="2" fillId="14" borderId="0" xfId="0" applyFont="1" applyFill="1" applyAlignment="1">
      <alignment vertical="top"/>
    </xf>
    <xf numFmtId="0" fontId="2" fillId="18" borderId="0" xfId="0" applyFont="1" applyFill="1" applyAlignment="1">
      <alignment vertical="top" wrapText="1"/>
    </xf>
    <xf numFmtId="0" fontId="28" fillId="2" borderId="0" xfId="0" applyFont="1" applyFill="1"/>
    <xf numFmtId="0" fontId="0" fillId="20" borderId="2" xfId="0" applyFill="1" applyBorder="1" applyAlignment="1">
      <alignment vertical="top" wrapText="1"/>
    </xf>
    <xf numFmtId="0" fontId="0" fillId="23" borderId="2" xfId="0" applyFill="1" applyBorder="1" applyAlignment="1">
      <alignment vertical="top" wrapText="1"/>
    </xf>
    <xf numFmtId="0" fontId="33" fillId="5" borderId="2" xfId="0" applyFont="1" applyFill="1" applyBorder="1" applyAlignment="1">
      <alignment vertical="top" wrapText="1"/>
    </xf>
    <xf numFmtId="0" fontId="34" fillId="5" borderId="2" xfId="0" applyFont="1" applyFill="1" applyBorder="1" applyAlignment="1">
      <alignment vertical="top" wrapText="1"/>
    </xf>
    <xf numFmtId="0" fontId="34" fillId="0" borderId="2" xfId="0" applyFont="1" applyBorder="1" applyAlignment="1">
      <alignment vertical="top" wrapText="1"/>
    </xf>
    <xf numFmtId="0" fontId="35" fillId="5" borderId="2" xfId="0" applyFont="1" applyFill="1" applyBorder="1" applyAlignment="1">
      <alignment vertical="top" wrapText="1"/>
    </xf>
    <xf numFmtId="0" fontId="29" fillId="24" borderId="9" xfId="0" applyFont="1" applyFill="1" applyBorder="1"/>
    <xf numFmtId="0" fontId="30" fillId="0" borderId="9" xfId="0" applyFont="1" applyBorder="1"/>
    <xf numFmtId="0" fontId="31" fillId="0" borderId="0" xfId="0" applyFont="1"/>
    <xf numFmtId="0" fontId="29" fillId="25" borderId="9" xfId="0" applyFont="1" applyFill="1" applyBorder="1"/>
    <xf numFmtId="0" fontId="17" fillId="17" borderId="0" xfId="0" applyFont="1" applyFill="1" applyAlignment="1">
      <alignment vertical="top" wrapText="1"/>
    </xf>
    <xf numFmtId="0" fontId="24" fillId="20" borderId="0" xfId="0" applyFont="1" applyFill="1"/>
    <xf numFmtId="0" fontId="24" fillId="21" borderId="0" xfId="0" applyFont="1" applyFill="1"/>
    <xf numFmtId="166" fontId="2" fillId="0" borderId="0" xfId="2" applyNumberFormat="1" applyFont="1" applyAlignment="1">
      <alignment vertical="top" wrapText="1"/>
    </xf>
    <xf numFmtId="0" fontId="29" fillId="26" borderId="10" xfId="0" applyFont="1" applyFill="1" applyBorder="1" applyAlignment="1">
      <alignment horizontal="center" vertical="center" wrapText="1"/>
    </xf>
    <xf numFmtId="0" fontId="41" fillId="0" borderId="10" xfId="0" applyFont="1" applyBorder="1"/>
    <xf numFmtId="0" fontId="42" fillId="0" borderId="10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left" vertical="center" wrapText="1"/>
    </xf>
    <xf numFmtId="0" fontId="41" fillId="0" borderId="10" xfId="0" applyFont="1" applyBorder="1" applyAlignment="1">
      <alignment horizontal="center" vertical="center" wrapText="1"/>
    </xf>
    <xf numFmtId="167" fontId="42" fillId="0" borderId="10" xfId="0" applyNumberFormat="1" applyFont="1" applyBorder="1" applyAlignment="1">
      <alignment horizontal="right" vertical="center"/>
    </xf>
    <xf numFmtId="0" fontId="43" fillId="0" borderId="10" xfId="0" applyFont="1" applyBorder="1" applyAlignment="1">
      <alignment horizontal="left" vertical="center" wrapText="1"/>
    </xf>
    <xf numFmtId="0" fontId="41" fillId="29" borderId="10" xfId="0" applyFont="1" applyFill="1" applyBorder="1"/>
    <xf numFmtId="0" fontId="42" fillId="29" borderId="10" xfId="0" applyFont="1" applyFill="1" applyBorder="1" applyAlignment="1">
      <alignment horizontal="center" vertical="center" wrapText="1"/>
    </xf>
    <xf numFmtId="0" fontId="42" fillId="29" borderId="10" xfId="0" applyFont="1" applyFill="1" applyBorder="1" applyAlignment="1">
      <alignment horizontal="left" vertical="center" wrapText="1"/>
    </xf>
    <xf numFmtId="2" fontId="41" fillId="29" borderId="10" xfId="0" applyNumberFormat="1" applyFont="1" applyFill="1" applyBorder="1" applyAlignment="1">
      <alignment horizontal="center" vertical="center" wrapText="1"/>
    </xf>
    <xf numFmtId="0" fontId="41" fillId="30" borderId="10" xfId="0" applyFont="1" applyFill="1" applyBorder="1" applyAlignment="1">
      <alignment horizontal="center" vertical="center" wrapText="1"/>
    </xf>
    <xf numFmtId="167" fontId="42" fillId="29" borderId="10" xfId="0" applyNumberFormat="1" applyFont="1" applyFill="1" applyBorder="1" applyAlignment="1">
      <alignment horizontal="right" vertical="center"/>
    </xf>
    <xf numFmtId="0" fontId="43" fillId="29" borderId="10" xfId="0" applyFont="1" applyFill="1" applyBorder="1" applyAlignment="1">
      <alignment horizontal="left" vertical="center" wrapText="1"/>
    </xf>
    <xf numFmtId="2" fontId="41" fillId="0" borderId="10" xfId="0" applyNumberFormat="1" applyFont="1" applyBorder="1" applyAlignment="1">
      <alignment horizontal="center" vertical="center" wrapText="1"/>
    </xf>
    <xf numFmtId="0" fontId="41" fillId="31" borderId="10" xfId="0" applyFont="1" applyFill="1" applyBorder="1" applyAlignment="1">
      <alignment horizontal="center" vertical="center" wrapText="1"/>
    </xf>
    <xf numFmtId="0" fontId="41" fillId="29" borderId="10" xfId="0" applyFont="1" applyFill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0" fontId="41" fillId="0" borderId="0" xfId="0" applyFont="1" applyAlignment="1">
      <alignment horizontal="left"/>
    </xf>
    <xf numFmtId="0" fontId="46" fillId="0" borderId="11" xfId="0" applyFont="1" applyBorder="1" applyAlignment="1">
      <alignment vertical="top" wrapText="1"/>
    </xf>
    <xf numFmtId="0" fontId="30" fillId="0" borderId="11" xfId="0" applyFont="1" applyBorder="1" applyAlignment="1">
      <alignment vertical="top" wrapText="1"/>
    </xf>
    <xf numFmtId="0" fontId="29" fillId="26" borderId="10" xfId="0" applyFont="1" applyFill="1" applyBorder="1" applyAlignment="1">
      <alignment vertical="center" wrapText="1"/>
    </xf>
    <xf numFmtId="3" fontId="42" fillId="0" borderId="10" xfId="0" applyNumberFormat="1" applyFont="1" applyBorder="1" applyAlignment="1">
      <alignment vertical="center"/>
    </xf>
    <xf numFmtId="3" fontId="42" fillId="29" borderId="10" xfId="0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27" borderId="10" xfId="0" applyFont="1" applyFill="1" applyBorder="1" applyAlignment="1">
      <alignment vertical="center" indent="1"/>
    </xf>
    <xf numFmtId="0" fontId="40" fillId="28" borderId="10" xfId="0" applyFont="1" applyFill="1" applyBorder="1" applyAlignment="1">
      <alignment vertical="center"/>
    </xf>
    <xf numFmtId="0" fontId="47" fillId="29" borderId="10" xfId="0" applyFont="1" applyFill="1" applyBorder="1" applyAlignment="1">
      <alignment horizontal="left" vertical="center" wrapText="1"/>
    </xf>
    <xf numFmtId="167" fontId="42" fillId="32" borderId="10" xfId="0" applyNumberFormat="1" applyFont="1" applyFill="1" applyBorder="1" applyAlignment="1">
      <alignment horizontal="right" vertical="center"/>
    </xf>
    <xf numFmtId="0" fontId="43" fillId="32" borderId="10" xfId="0" applyFont="1" applyFill="1" applyBorder="1" applyAlignment="1">
      <alignment horizontal="left" vertical="center" wrapText="1"/>
    </xf>
    <xf numFmtId="0" fontId="49" fillId="28" borderId="10" xfId="0" applyFont="1" applyFill="1" applyBorder="1" applyAlignment="1">
      <alignment vertical="center"/>
    </xf>
    <xf numFmtId="0" fontId="50" fillId="27" borderId="10" xfId="0" applyFont="1" applyFill="1" applyBorder="1" applyAlignment="1">
      <alignment vertical="center" wrapText="1" indent="1"/>
    </xf>
    <xf numFmtId="0" fontId="54" fillId="29" borderId="10" xfId="0" applyFont="1" applyFill="1" applyBorder="1"/>
    <xf numFmtId="0" fontId="55" fillId="29" borderId="10" xfId="0" applyFont="1" applyFill="1" applyBorder="1" applyAlignment="1">
      <alignment horizontal="center" vertical="center" wrapText="1"/>
    </xf>
    <xf numFmtId="0" fontId="55" fillId="29" borderId="10" xfId="0" applyFont="1" applyFill="1" applyBorder="1" applyAlignment="1">
      <alignment horizontal="left" vertical="center" wrapText="1"/>
    </xf>
    <xf numFmtId="0" fontId="54" fillId="29" borderId="10" xfId="0" applyFont="1" applyFill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 wrapText="1"/>
    </xf>
    <xf numFmtId="167" fontId="55" fillId="29" borderId="10" xfId="0" applyNumberFormat="1" applyFont="1" applyFill="1" applyBorder="1" applyAlignment="1">
      <alignment horizontal="right" vertical="center"/>
    </xf>
    <xf numFmtId="0" fontId="56" fillId="29" borderId="10" xfId="0" applyFont="1" applyFill="1" applyBorder="1" applyAlignment="1">
      <alignment horizontal="left" vertical="center" wrapText="1"/>
    </xf>
    <xf numFmtId="0" fontId="51" fillId="27" borderId="10" xfId="0" applyFont="1" applyFill="1" applyBorder="1" applyAlignment="1">
      <alignment vertical="center" indent="1"/>
    </xf>
    <xf numFmtId="0" fontId="52" fillId="0" borderId="10" xfId="0" applyFont="1" applyBorder="1"/>
    <xf numFmtId="0" fontId="53" fillId="28" borderId="10" xfId="0" applyFont="1" applyFill="1" applyBorder="1" applyAlignment="1">
      <alignment vertical="center"/>
    </xf>
    <xf numFmtId="3" fontId="55" fillId="29" borderId="10" xfId="0" applyNumberFormat="1" applyFont="1" applyFill="1" applyBorder="1" applyAlignment="1">
      <alignment vertical="center"/>
    </xf>
    <xf numFmtId="0" fontId="54" fillId="0" borderId="10" xfId="0" applyFont="1" applyBorder="1"/>
    <xf numFmtId="0" fontId="55" fillId="0" borderId="10" xfId="0" applyFont="1" applyBorder="1" applyAlignment="1">
      <alignment horizontal="center" vertical="center" wrapText="1"/>
    </xf>
    <xf numFmtId="0" fontId="55" fillId="0" borderId="10" xfId="0" applyFont="1" applyBorder="1" applyAlignment="1">
      <alignment horizontal="left" vertical="center" wrapText="1"/>
    </xf>
    <xf numFmtId="3" fontId="55" fillId="0" borderId="10" xfId="0" applyNumberFormat="1" applyFont="1" applyBorder="1" applyAlignment="1">
      <alignment vertical="center"/>
    </xf>
    <xf numFmtId="0" fontId="56" fillId="0" borderId="10" xfId="0" applyFont="1" applyBorder="1" applyAlignment="1">
      <alignment horizontal="left" vertical="center" wrapText="1"/>
    </xf>
    <xf numFmtId="167" fontId="55" fillId="32" borderId="10" xfId="0" applyNumberFormat="1" applyFont="1" applyFill="1" applyBorder="1" applyAlignment="1">
      <alignment horizontal="right" vertical="center"/>
    </xf>
    <xf numFmtId="0" fontId="52" fillId="0" borderId="10" xfId="0" applyFont="1" applyBorder="1" applyAlignment="1">
      <alignment horizontal="center" vertical="center"/>
    </xf>
    <xf numFmtId="3" fontId="42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vertical="top"/>
    </xf>
    <xf numFmtId="0" fontId="19" fillId="4" borderId="0" xfId="0" applyFont="1" applyFill="1" applyAlignment="1">
      <alignment vertical="top" wrapText="1"/>
    </xf>
    <xf numFmtId="0" fontId="19" fillId="0" borderId="0" xfId="0" applyFont="1" applyAlignment="1">
      <alignment vertical="top"/>
    </xf>
    <xf numFmtId="0" fontId="17" fillId="17" borderId="0" xfId="0" applyFont="1" applyFill="1" applyAlignment="1">
      <alignment vertical="top" wrapText="1"/>
    </xf>
    <xf numFmtId="0" fontId="5" fillId="1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8" fillId="6" borderId="0" xfId="0" applyFont="1" applyFill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4" fillId="2" borderId="0" xfId="0" applyFont="1" applyFill="1" applyAlignment="1"/>
    <xf numFmtId="0" fontId="0" fillId="2" borderId="0" xfId="0" applyFill="1" applyAlignment="1"/>
    <xf numFmtId="0" fontId="0" fillId="0" borderId="0" xfId="0" applyAlignment="1"/>
    <xf numFmtId="0" fontId="0" fillId="0" borderId="5" xfId="0" applyBorder="1" applyAlignment="1"/>
    <xf numFmtId="0" fontId="0" fillId="0" borderId="8" xfId="0" applyBorder="1" applyAlignment="1"/>
    <xf numFmtId="0" fontId="0" fillId="0" borderId="7" xfId="0" applyBorder="1" applyAlignment="1"/>
    <xf numFmtId="0" fontId="0" fillId="0" borderId="3" xfId="0" applyBorder="1" applyAlignment="1"/>
    <xf numFmtId="0" fontId="4" fillId="0" borderId="0" xfId="0" applyFont="1" applyAlignment="1"/>
    <xf numFmtId="0" fontId="7" fillId="0" borderId="0" xfId="0" applyFont="1" applyAlignment="1"/>
    <xf numFmtId="0" fontId="32" fillId="0" borderId="0" xfId="0" applyFont="1" applyAlignme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EFFDE"/>
      <rgbColor rgb="FFDBEEF4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BF1DE"/>
      <rgbColor rgb="FFFCF5AE"/>
      <rgbColor rgb="FFD7E4BD"/>
      <rgbColor rgb="FFFDEADA"/>
      <rgbColor rgb="FFE2E8F0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72A"/>
      <rgbColor rgb="FF339966"/>
      <rgbColor rgb="FF111827"/>
      <rgbColor rgb="FF333300"/>
      <rgbColor rgb="FF993300"/>
      <rgbColor rgb="FF993366"/>
      <rgbColor rgb="FF1E3A8A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el.Dayodon@doleintl.com" TargetMode="External"/><Relationship Id="rId13" Type="http://schemas.openxmlformats.org/officeDocument/2006/relationships/hyperlink" Target="mailto:OrdoyoRF@delmonte-phil.com" TargetMode="External"/><Relationship Id="rId18" Type="http://schemas.openxmlformats.org/officeDocument/2006/relationships/hyperlink" Target="mailto:jiorajay@lapanday.com" TargetMode="External"/><Relationship Id="rId3" Type="http://schemas.openxmlformats.org/officeDocument/2006/relationships/hyperlink" Target="mailto:vahidjm@gmail.com" TargetMode="External"/><Relationship Id="rId21" Type="http://schemas.openxmlformats.org/officeDocument/2006/relationships/hyperlink" Target="mailto:joseph.balndra@sumifru.com" TargetMode="External"/><Relationship Id="rId7" Type="http://schemas.openxmlformats.org/officeDocument/2006/relationships/hyperlink" Target="mailto:reofeli.perez@doleintl.com" TargetMode="External"/><Relationship Id="rId12" Type="http://schemas.openxmlformats.org/officeDocument/2006/relationships/hyperlink" Target="mailto:MahilumHA@delmonte-phil.com" TargetMode="External"/><Relationship Id="rId17" Type="http://schemas.openxmlformats.org/officeDocument/2006/relationships/hyperlink" Target="mailto:CAlvarado1@Freshdelmonte.com" TargetMode="External"/><Relationship Id="rId25" Type="http://schemas.openxmlformats.org/officeDocument/2006/relationships/hyperlink" Target="mailto:efraim.gloriba@nakashin.com.ph" TargetMode="External"/><Relationship Id="rId2" Type="http://schemas.openxmlformats.org/officeDocument/2006/relationships/hyperlink" Target="mailto:vahidjm@gmail.com" TargetMode="External"/><Relationship Id="rId16" Type="http://schemas.openxmlformats.org/officeDocument/2006/relationships/hyperlink" Target="mailto:Rorias@Freshdelmonte.com" TargetMode="External"/><Relationship Id="rId20" Type="http://schemas.openxmlformats.org/officeDocument/2006/relationships/hyperlink" Target="mailto:mmloayan@saranganibay.com.ph" TargetMode="External"/><Relationship Id="rId1" Type="http://schemas.openxmlformats.org/officeDocument/2006/relationships/hyperlink" Target="mailto:raguirre@bon-ag.com" TargetMode="External"/><Relationship Id="rId6" Type="http://schemas.openxmlformats.org/officeDocument/2006/relationships/hyperlink" Target="mailto:Jeanette.Abalde@dolefil.com" TargetMode="External"/><Relationship Id="rId11" Type="http://schemas.openxmlformats.org/officeDocument/2006/relationships/hyperlink" Target="mailto:TagleAG@delmonte-phil.com" TargetMode="External"/><Relationship Id="rId24" Type="http://schemas.openxmlformats.org/officeDocument/2006/relationships/hyperlink" Target="mailto:meerafeco@gmail.com" TargetMode="External"/><Relationship Id="rId5" Type="http://schemas.openxmlformats.org/officeDocument/2006/relationships/hyperlink" Target="mailto:Novy.Castolo@doleintl.com" TargetMode="External"/><Relationship Id="rId15" Type="http://schemas.openxmlformats.org/officeDocument/2006/relationships/hyperlink" Target="mailto:Rapas@Freshdelmonte.com" TargetMode="External"/><Relationship Id="rId23" Type="http://schemas.openxmlformats.org/officeDocument/2006/relationships/hyperlink" Target="mailto:rubygudito@gmail.com" TargetMode="External"/><Relationship Id="rId10" Type="http://schemas.openxmlformats.org/officeDocument/2006/relationships/hyperlink" Target="mailto:Ariel.Bolledo@doleintl.com" TargetMode="External"/><Relationship Id="rId19" Type="http://schemas.openxmlformats.org/officeDocument/2006/relationships/hyperlink" Target="mailto:romeomugasjr100991@gmail.com" TargetMode="External"/><Relationship Id="rId4" Type="http://schemas.openxmlformats.org/officeDocument/2006/relationships/hyperlink" Target="mailto:Francis.Babac@doleinyl.com" TargetMode="External"/><Relationship Id="rId9" Type="http://schemas.openxmlformats.org/officeDocument/2006/relationships/hyperlink" Target="mailto:Elvie.Escalicas@doleintl.com" TargetMode="External"/><Relationship Id="rId14" Type="http://schemas.openxmlformats.org/officeDocument/2006/relationships/hyperlink" Target="mailto:Nmagculia@Freshdelmonte.com" TargetMode="External"/><Relationship Id="rId22" Type="http://schemas.openxmlformats.org/officeDocument/2006/relationships/hyperlink" Target="mailto:mr.magbanu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C9C6-B130-42DA-94C4-D4C89FB8544C}">
  <dimension ref="A1:I90"/>
  <sheetViews>
    <sheetView tabSelected="1" zoomScale="90" zoomScaleNormal="90" workbookViewId="0">
      <pane ySplit="4" topLeftCell="A76" activePane="bottomLeft" state="frozen"/>
      <selection pane="bottomLeft" activeCell="A48" sqref="A48"/>
    </sheetView>
  </sheetViews>
  <sheetFormatPr defaultColWidth="8.7109375" defaultRowHeight="15"/>
  <cols>
    <col min="1" max="1" width="32" customWidth="1"/>
    <col min="2" max="2" width="14" customWidth="1"/>
    <col min="3" max="3" width="28" customWidth="1"/>
    <col min="4" max="4" width="34" customWidth="1"/>
    <col min="5" max="5" width="26" customWidth="1"/>
    <col min="6" max="6" width="8" customWidth="1"/>
    <col min="7" max="7" width="26" customWidth="1"/>
    <col min="8" max="8" width="14" customWidth="1"/>
    <col min="9" max="9" width="52" customWidth="1"/>
  </cols>
  <sheetData>
    <row r="1" spans="1:9" ht="31.5" customHeight="1">
      <c r="A1" s="121" t="s">
        <v>0</v>
      </c>
      <c r="B1" s="121"/>
      <c r="C1" s="121"/>
      <c r="D1" s="121"/>
      <c r="E1" s="121"/>
      <c r="F1" s="121"/>
      <c r="G1" s="121"/>
      <c r="H1" s="121"/>
      <c r="I1" s="121"/>
    </row>
    <row r="2" spans="1:9" ht="19.5" customHeight="1">
      <c r="A2" s="122" t="s">
        <v>1</v>
      </c>
      <c r="B2" s="122"/>
      <c r="C2" s="122"/>
      <c r="D2" s="122"/>
      <c r="E2" s="122"/>
      <c r="F2" s="122"/>
      <c r="G2" s="122"/>
      <c r="H2" s="122"/>
      <c r="I2" s="122"/>
    </row>
    <row r="4" spans="1:9" ht="36" customHeight="1">
      <c r="A4" s="96" t="s">
        <v>2</v>
      </c>
      <c r="B4" s="96" t="s">
        <v>3</v>
      </c>
      <c r="C4" s="96" t="s">
        <v>4</v>
      </c>
      <c r="D4" s="96" t="s">
        <v>5</v>
      </c>
      <c r="E4" s="96" t="s">
        <v>6</v>
      </c>
      <c r="F4" s="96" t="s">
        <v>7</v>
      </c>
      <c r="G4" s="96" t="s">
        <v>8</v>
      </c>
      <c r="H4" s="118" t="s">
        <v>9</v>
      </c>
      <c r="I4" s="96" t="s">
        <v>10</v>
      </c>
    </row>
    <row r="5" spans="1:9" ht="25.5" customHeight="1">
      <c r="A5" s="123" t="s">
        <v>11</v>
      </c>
      <c r="B5" s="123"/>
      <c r="C5" s="123"/>
      <c r="D5" s="123"/>
      <c r="E5" s="123"/>
      <c r="F5" s="123"/>
      <c r="G5" s="129" t="s">
        <v>12</v>
      </c>
      <c r="H5" s="123"/>
      <c r="I5" s="123"/>
    </row>
    <row r="6" spans="1:9" ht="21.75" customHeight="1">
      <c r="A6" s="124" t="s">
        <v>13</v>
      </c>
      <c r="B6" s="124"/>
      <c r="C6" s="124"/>
      <c r="D6" s="124"/>
      <c r="E6" s="124"/>
      <c r="F6" s="124"/>
      <c r="G6" s="128" t="s">
        <v>14</v>
      </c>
      <c r="H6" s="124"/>
      <c r="I6" s="124"/>
    </row>
    <row r="7" spans="1:9" ht="30" customHeight="1">
      <c r="A7" s="97" t="s">
        <v>15</v>
      </c>
      <c r="B7" s="98" t="s">
        <v>16</v>
      </c>
      <c r="C7" s="99" t="s">
        <v>17</v>
      </c>
      <c r="D7" s="99" t="s">
        <v>18</v>
      </c>
      <c r="E7" s="100" t="s">
        <v>19</v>
      </c>
      <c r="F7" s="100" t="s">
        <v>20</v>
      </c>
      <c r="G7" s="126">
        <f>H7*0.8*2*3*7.5</f>
        <v>5400000</v>
      </c>
      <c r="H7" s="119">
        <v>150000</v>
      </c>
      <c r="I7" s="102" t="s">
        <v>21</v>
      </c>
    </row>
    <row r="8" spans="1:9" ht="30" customHeight="1">
      <c r="A8" s="137" t="s">
        <v>22</v>
      </c>
      <c r="B8" s="137"/>
      <c r="C8" s="137"/>
      <c r="D8" s="137"/>
      <c r="E8" s="137"/>
      <c r="F8" s="137"/>
      <c r="G8" s="137"/>
      <c r="H8" s="137"/>
      <c r="I8" s="137"/>
    </row>
    <row r="9" spans="1:9" ht="30" customHeight="1">
      <c r="A9" s="147" t="s">
        <v>23</v>
      </c>
      <c r="B9" s="138"/>
      <c r="C9" s="138"/>
      <c r="D9" s="138"/>
      <c r="E9" s="138"/>
      <c r="F9" s="138"/>
      <c r="G9" s="138"/>
      <c r="H9" s="138"/>
      <c r="I9" s="138"/>
    </row>
    <row r="10" spans="1:9" ht="30" customHeight="1">
      <c r="A10" s="137" t="s">
        <v>24</v>
      </c>
      <c r="B10" s="137"/>
      <c r="C10" s="137"/>
      <c r="D10" s="137"/>
      <c r="E10" s="137"/>
      <c r="F10" s="137"/>
      <c r="G10" s="137"/>
      <c r="H10" s="137"/>
      <c r="I10" s="137"/>
    </row>
    <row r="11" spans="1:9" ht="30" customHeight="1">
      <c r="A11" s="139" t="s">
        <v>13</v>
      </c>
      <c r="B11" s="139"/>
      <c r="C11" s="139"/>
      <c r="D11" s="139"/>
      <c r="E11" s="139"/>
      <c r="F11" s="139"/>
      <c r="G11" s="139"/>
      <c r="H11" s="139"/>
      <c r="I11" s="139"/>
    </row>
    <row r="12" spans="1:9" ht="30" customHeight="1">
      <c r="A12" s="130" t="s">
        <v>25</v>
      </c>
      <c r="B12" s="131" t="s">
        <v>26</v>
      </c>
      <c r="C12" s="132" t="s">
        <v>27</v>
      </c>
      <c r="D12" s="132" t="s">
        <v>28</v>
      </c>
      <c r="E12" s="133" t="s">
        <v>20</v>
      </c>
      <c r="F12" s="134" t="s">
        <v>20</v>
      </c>
      <c r="G12" s="135" t="s">
        <v>29</v>
      </c>
      <c r="H12" s="140" t="s">
        <v>29</v>
      </c>
      <c r="I12" s="136" t="s">
        <v>30</v>
      </c>
    </row>
    <row r="13" spans="1:9" ht="25.5" customHeight="1">
      <c r="A13" s="123" t="s">
        <v>31</v>
      </c>
      <c r="B13" s="123"/>
      <c r="C13" s="123"/>
      <c r="D13" s="123"/>
      <c r="E13" s="123"/>
      <c r="F13" s="123"/>
      <c r="G13" s="123"/>
      <c r="H13" s="123"/>
      <c r="I13" s="123"/>
    </row>
    <row r="14" spans="1:9" ht="21.75" customHeight="1">
      <c r="A14" s="124" t="s">
        <v>32</v>
      </c>
      <c r="B14" s="124"/>
      <c r="C14" s="124"/>
      <c r="D14" s="124"/>
      <c r="E14" s="124"/>
      <c r="F14" s="124"/>
      <c r="G14" s="124"/>
      <c r="H14" s="124"/>
      <c r="I14" s="124"/>
    </row>
    <row r="15" spans="1:9" ht="30" customHeight="1">
      <c r="A15" s="103" t="s">
        <v>33</v>
      </c>
      <c r="B15" s="104" t="s">
        <v>34</v>
      </c>
      <c r="C15" s="105" t="s">
        <v>35</v>
      </c>
      <c r="D15" s="105" t="s">
        <v>36</v>
      </c>
      <c r="E15" s="106">
        <v>4.7</v>
      </c>
      <c r="F15" s="107">
        <v>1</v>
      </c>
      <c r="G15" s="126">
        <f>H15*0.8*2*3*7.5</f>
        <v>1602000</v>
      </c>
      <c r="H15" s="120">
        <v>44500</v>
      </c>
      <c r="I15" s="109" t="s">
        <v>37</v>
      </c>
    </row>
    <row r="16" spans="1:9" ht="30" customHeight="1">
      <c r="A16" s="97" t="s">
        <v>38</v>
      </c>
      <c r="B16" s="98" t="s">
        <v>39</v>
      </c>
      <c r="C16" s="99" t="s">
        <v>40</v>
      </c>
      <c r="D16" s="99" t="s">
        <v>41</v>
      </c>
      <c r="E16" s="110">
        <v>4.45</v>
      </c>
      <c r="F16" s="107">
        <v>1</v>
      </c>
      <c r="G16" s="126">
        <f>H16*0.8*2*3*7.5</f>
        <v>576000</v>
      </c>
      <c r="H16" s="119">
        <v>16000</v>
      </c>
      <c r="I16" s="102" t="s">
        <v>42</v>
      </c>
    </row>
    <row r="17" spans="1:9" ht="30" customHeight="1">
      <c r="A17" s="103" t="s">
        <v>43</v>
      </c>
      <c r="B17" s="104" t="s">
        <v>39</v>
      </c>
      <c r="C17" s="105" t="s">
        <v>44</v>
      </c>
      <c r="D17" s="105" t="s">
        <v>45</v>
      </c>
      <c r="E17" s="106">
        <v>4.1500000000000004</v>
      </c>
      <c r="F17" s="107">
        <v>1</v>
      </c>
      <c r="G17" s="126">
        <f>H17*0.8*2*3*7.5</f>
        <v>1368000</v>
      </c>
      <c r="H17" s="120">
        <v>38000</v>
      </c>
      <c r="I17" s="109" t="s">
        <v>46</v>
      </c>
    </row>
    <row r="18" spans="1:9" ht="30" customHeight="1">
      <c r="A18" s="97" t="s">
        <v>47</v>
      </c>
      <c r="B18" s="98" t="s">
        <v>39</v>
      </c>
      <c r="C18" s="99" t="s">
        <v>48</v>
      </c>
      <c r="D18" s="99" t="s">
        <v>49</v>
      </c>
      <c r="E18" s="100" t="s">
        <v>20</v>
      </c>
      <c r="F18" s="100" t="s">
        <v>20</v>
      </c>
      <c r="G18" s="126">
        <f>H18*0.8*2*3*7.5</f>
        <v>4320000</v>
      </c>
      <c r="H18" s="119">
        <v>120000</v>
      </c>
      <c r="I18" s="102" t="s">
        <v>50</v>
      </c>
    </row>
    <row r="19" spans="1:9" ht="21.75" customHeight="1">
      <c r="A19" s="124" t="s">
        <v>51</v>
      </c>
      <c r="B19" s="124"/>
      <c r="C19" s="124"/>
      <c r="D19" s="124"/>
      <c r="E19" s="124"/>
      <c r="F19" s="124"/>
      <c r="G19" s="124"/>
      <c r="H19" s="124"/>
      <c r="I19" s="124"/>
    </row>
    <row r="20" spans="1:9" ht="30" customHeight="1">
      <c r="A20" s="103" t="s">
        <v>52</v>
      </c>
      <c r="B20" s="104" t="s">
        <v>53</v>
      </c>
      <c r="C20" s="105" t="s">
        <v>44</v>
      </c>
      <c r="D20" s="105" t="s">
        <v>54</v>
      </c>
      <c r="E20" s="106">
        <v>3.95</v>
      </c>
      <c r="F20" s="111">
        <v>2</v>
      </c>
      <c r="G20" s="126">
        <f>H20*0.8*2*3*7.5</f>
        <v>432000</v>
      </c>
      <c r="H20" s="120">
        <v>12000</v>
      </c>
      <c r="I20" s="109" t="s">
        <v>55</v>
      </c>
    </row>
    <row r="21" spans="1:9" ht="30" customHeight="1">
      <c r="A21" s="97" t="s">
        <v>56</v>
      </c>
      <c r="B21" s="98" t="s">
        <v>34</v>
      </c>
      <c r="C21" s="99" t="s">
        <v>44</v>
      </c>
      <c r="D21" s="99" t="s">
        <v>57</v>
      </c>
      <c r="E21" s="110">
        <v>3.8</v>
      </c>
      <c r="F21" s="111">
        <v>2</v>
      </c>
      <c r="G21" s="126">
        <f>H21*0.8*2*3*7.5</f>
        <v>360000</v>
      </c>
      <c r="H21" s="119">
        <v>10000</v>
      </c>
      <c r="I21" s="102" t="s">
        <v>58</v>
      </c>
    </row>
    <row r="22" spans="1:9" ht="30" customHeight="1">
      <c r="A22" s="103" t="s">
        <v>59</v>
      </c>
      <c r="B22" s="104" t="s">
        <v>60</v>
      </c>
      <c r="C22" s="105" t="s">
        <v>61</v>
      </c>
      <c r="D22" s="105" t="s">
        <v>62</v>
      </c>
      <c r="E22" s="112" t="s">
        <v>20</v>
      </c>
      <c r="F22" s="100" t="s">
        <v>20</v>
      </c>
      <c r="G22" s="126">
        <f>H22*0.8*2*3*7.5</f>
        <v>3240000</v>
      </c>
      <c r="H22" s="120">
        <v>90000</v>
      </c>
      <c r="I22" s="109" t="s">
        <v>63</v>
      </c>
    </row>
    <row r="23" spans="1:9" ht="30" customHeight="1">
      <c r="A23" s="97" t="s">
        <v>64</v>
      </c>
      <c r="B23" s="98" t="s">
        <v>65</v>
      </c>
      <c r="C23" s="99" t="s">
        <v>61</v>
      </c>
      <c r="D23" s="99" t="s">
        <v>62</v>
      </c>
      <c r="E23" s="100" t="s">
        <v>20</v>
      </c>
      <c r="F23" s="100" t="s">
        <v>20</v>
      </c>
      <c r="G23" s="126">
        <f>H23*0.8*2*3*7.5</f>
        <v>7200000</v>
      </c>
      <c r="H23" s="119">
        <v>200000</v>
      </c>
      <c r="I23" s="102" t="s">
        <v>66</v>
      </c>
    </row>
    <row r="24" spans="1:9" ht="30" customHeight="1">
      <c r="A24" s="97" t="s">
        <v>67</v>
      </c>
      <c r="B24" s="98" t="s">
        <v>34</v>
      </c>
      <c r="C24" s="99" t="s">
        <v>68</v>
      </c>
      <c r="D24" s="99" t="s">
        <v>69</v>
      </c>
      <c r="E24" s="100" t="s">
        <v>20</v>
      </c>
      <c r="F24" s="100" t="s">
        <v>20</v>
      </c>
      <c r="G24" s="126">
        <f>H24*0.8*2*3*7.5</f>
        <v>828000</v>
      </c>
      <c r="H24" s="119">
        <v>23000</v>
      </c>
      <c r="I24" s="102" t="s">
        <v>70</v>
      </c>
    </row>
    <row r="25" spans="1:9" ht="30" customHeight="1">
      <c r="A25" s="141" t="s">
        <v>71</v>
      </c>
      <c r="B25" s="142" t="s">
        <v>72</v>
      </c>
      <c r="C25" s="143" t="s">
        <v>73</v>
      </c>
      <c r="D25" s="143" t="s">
        <v>74</v>
      </c>
      <c r="E25" s="134" t="s">
        <v>20</v>
      </c>
      <c r="F25" s="134" t="s">
        <v>20</v>
      </c>
      <c r="G25" s="146">
        <f>H25*0.8*2*3*7.5</f>
        <v>360000</v>
      </c>
      <c r="H25" s="144">
        <v>10000</v>
      </c>
      <c r="I25" s="145" t="s">
        <v>75</v>
      </c>
    </row>
    <row r="26" spans="1:9" ht="30" customHeight="1">
      <c r="A26" s="103" t="s">
        <v>76</v>
      </c>
      <c r="B26" s="104" t="s">
        <v>60</v>
      </c>
      <c r="C26" s="105" t="s">
        <v>77</v>
      </c>
      <c r="D26" s="105" t="s">
        <v>78</v>
      </c>
      <c r="E26" s="106">
        <v>3.35</v>
      </c>
      <c r="F26" s="100">
        <v>2</v>
      </c>
      <c r="G26" s="126">
        <f>H26*0.8*2*3*7.5</f>
        <v>2700000</v>
      </c>
      <c r="H26" s="120">
        <v>75000</v>
      </c>
      <c r="I26" s="109" t="s">
        <v>79</v>
      </c>
    </row>
    <row r="27" spans="1:9" ht="30" customHeight="1">
      <c r="A27" s="103" t="s">
        <v>80</v>
      </c>
      <c r="B27" s="104" t="s">
        <v>72</v>
      </c>
      <c r="C27" s="105" t="s">
        <v>81</v>
      </c>
      <c r="D27" s="105" t="s">
        <v>82</v>
      </c>
      <c r="E27" s="112" t="s">
        <v>20</v>
      </c>
      <c r="F27" s="100" t="s">
        <v>20</v>
      </c>
      <c r="G27" s="108">
        <f>H27*0.8*2*3*7.5</f>
        <v>0</v>
      </c>
      <c r="H27" s="120">
        <v>0</v>
      </c>
      <c r="I27" s="109" t="s">
        <v>83</v>
      </c>
    </row>
    <row r="28" spans="1:9" ht="33.75" customHeight="1">
      <c r="A28" s="97" t="s">
        <v>84</v>
      </c>
      <c r="B28" s="98" t="s">
        <v>53</v>
      </c>
      <c r="C28" s="99" t="s">
        <v>85</v>
      </c>
      <c r="D28" s="99" t="s">
        <v>86</v>
      </c>
      <c r="E28" s="110">
        <v>4.25</v>
      </c>
      <c r="F28" s="107">
        <v>1</v>
      </c>
      <c r="G28" s="126">
        <f>H28*0.8*2*3*7.5</f>
        <v>360000</v>
      </c>
      <c r="H28" s="148">
        <v>10000</v>
      </c>
      <c r="I28" s="102" t="s">
        <v>87</v>
      </c>
    </row>
    <row r="29" spans="1:9" ht="21.75" customHeight="1">
      <c r="A29" s="124" t="s">
        <v>88</v>
      </c>
      <c r="B29" s="124"/>
      <c r="C29" s="124"/>
      <c r="D29" s="124"/>
      <c r="E29" s="124"/>
      <c r="F29" s="124"/>
      <c r="G29" s="124"/>
      <c r="H29" s="124"/>
      <c r="I29" s="124"/>
    </row>
    <row r="30" spans="1:9" ht="30" customHeight="1">
      <c r="A30" s="97" t="s">
        <v>89</v>
      </c>
      <c r="B30" s="98" t="s">
        <v>90</v>
      </c>
      <c r="C30" s="99" t="s">
        <v>91</v>
      </c>
      <c r="D30" s="99" t="s">
        <v>92</v>
      </c>
      <c r="E30" s="110">
        <v>4.5</v>
      </c>
      <c r="F30" s="107">
        <v>1</v>
      </c>
      <c r="G30" s="126">
        <f>H30*0.8*2*3*7.5</f>
        <v>486000</v>
      </c>
      <c r="H30" s="119">
        <v>13500</v>
      </c>
      <c r="I30" s="102" t="s">
        <v>93</v>
      </c>
    </row>
    <row r="31" spans="1:9" ht="30" customHeight="1">
      <c r="A31" s="103" t="s">
        <v>94</v>
      </c>
      <c r="B31" s="104" t="s">
        <v>90</v>
      </c>
      <c r="C31" s="105" t="s">
        <v>44</v>
      </c>
      <c r="D31" s="105" t="s">
        <v>95</v>
      </c>
      <c r="E31" s="106">
        <v>4.3</v>
      </c>
      <c r="F31" s="107">
        <v>1</v>
      </c>
      <c r="G31" s="108">
        <f>H31*0.8*2*3*7.5</f>
        <v>126000</v>
      </c>
      <c r="H31" s="120">
        <v>3500</v>
      </c>
      <c r="I31" s="109" t="s">
        <v>96</v>
      </c>
    </row>
    <row r="32" spans="1:9" ht="30" customHeight="1">
      <c r="A32" s="139" t="s">
        <v>97</v>
      </c>
      <c r="B32" s="139"/>
      <c r="C32" s="139"/>
      <c r="D32" s="139"/>
      <c r="E32" s="139"/>
      <c r="F32" s="139"/>
      <c r="G32" s="139"/>
      <c r="H32" s="139"/>
      <c r="I32" s="139"/>
    </row>
    <row r="33" spans="1:9" ht="30" customHeight="1">
      <c r="A33" s="130" t="s">
        <v>98</v>
      </c>
      <c r="B33" s="131" t="s">
        <v>99</v>
      </c>
      <c r="C33" s="132" t="s">
        <v>27</v>
      </c>
      <c r="D33" s="132" t="s">
        <v>100</v>
      </c>
      <c r="E33" s="133" t="s">
        <v>20</v>
      </c>
      <c r="F33" s="134" t="s">
        <v>20</v>
      </c>
      <c r="G33" s="135" t="s">
        <v>29</v>
      </c>
      <c r="H33" s="140" t="s">
        <v>29</v>
      </c>
      <c r="I33" s="136" t="s">
        <v>101</v>
      </c>
    </row>
    <row r="34" spans="1:9" ht="25.5" customHeight="1">
      <c r="A34" s="123" t="s">
        <v>102</v>
      </c>
      <c r="B34" s="123"/>
      <c r="C34" s="123"/>
      <c r="D34" s="123"/>
      <c r="E34" s="123"/>
      <c r="F34" s="123"/>
      <c r="G34" s="123"/>
      <c r="H34" s="123"/>
      <c r="I34" s="123"/>
    </row>
    <row r="35" spans="1:9" ht="21.75" customHeight="1">
      <c r="A35" s="124" t="s">
        <v>32</v>
      </c>
      <c r="B35" s="124"/>
      <c r="C35" s="124"/>
      <c r="D35" s="124"/>
      <c r="E35" s="124"/>
      <c r="F35" s="124"/>
      <c r="G35" s="124"/>
      <c r="H35" s="124"/>
      <c r="I35" s="124"/>
    </row>
    <row r="36" spans="1:9" ht="30" customHeight="1">
      <c r="A36" s="97" t="s">
        <v>103</v>
      </c>
      <c r="B36" s="98" t="s">
        <v>39</v>
      </c>
      <c r="C36" s="99" t="s">
        <v>104</v>
      </c>
      <c r="D36" s="99" t="s">
        <v>105</v>
      </c>
      <c r="E36" s="110">
        <v>4.8</v>
      </c>
      <c r="F36" s="107">
        <v>1</v>
      </c>
      <c r="G36" s="126">
        <f>H36*0.8*2*3*7.5</f>
        <v>1440000</v>
      </c>
      <c r="H36" s="119">
        <v>40000</v>
      </c>
      <c r="I36" s="102" t="s">
        <v>106</v>
      </c>
    </row>
    <row r="37" spans="1:9" ht="30" customHeight="1">
      <c r="A37" s="103" t="s">
        <v>107</v>
      </c>
      <c r="B37" s="104" t="s">
        <v>39</v>
      </c>
      <c r="C37" s="105" t="s">
        <v>108</v>
      </c>
      <c r="D37" s="105" t="s">
        <v>109</v>
      </c>
      <c r="E37" s="106">
        <v>4.5999999999999996</v>
      </c>
      <c r="F37" s="107">
        <v>1</v>
      </c>
      <c r="G37" s="108">
        <f>H37*0.8*2*3*7.5</f>
        <v>216000</v>
      </c>
      <c r="H37" s="120">
        <v>6000</v>
      </c>
      <c r="I37" s="109" t="s">
        <v>110</v>
      </c>
    </row>
    <row r="38" spans="1:9" ht="30" customHeight="1">
      <c r="A38" s="97" t="s">
        <v>111</v>
      </c>
      <c r="B38" s="98" t="s">
        <v>39</v>
      </c>
      <c r="C38" s="99" t="s">
        <v>112</v>
      </c>
      <c r="D38" s="99" t="s">
        <v>113</v>
      </c>
      <c r="E38" s="110">
        <v>4.5999999999999996</v>
      </c>
      <c r="F38" s="107">
        <v>1</v>
      </c>
      <c r="G38" s="101">
        <f>H38*0.8*2*3*7.5</f>
        <v>180000</v>
      </c>
      <c r="H38" s="119">
        <v>5000</v>
      </c>
      <c r="I38" s="102" t="s">
        <v>114</v>
      </c>
    </row>
    <row r="39" spans="1:9" ht="30" customHeight="1">
      <c r="A39" s="103" t="s">
        <v>115</v>
      </c>
      <c r="B39" s="104" t="s">
        <v>116</v>
      </c>
      <c r="C39" s="105" t="s">
        <v>117</v>
      </c>
      <c r="D39" s="105" t="s">
        <v>118</v>
      </c>
      <c r="E39" s="106">
        <v>4.5999999999999996</v>
      </c>
      <c r="F39" s="107">
        <v>1</v>
      </c>
      <c r="G39" s="108">
        <f>H39*0.8*2*3*7.5</f>
        <v>10800</v>
      </c>
      <c r="H39" s="120">
        <v>300</v>
      </c>
      <c r="I39" s="109" t="s">
        <v>119</v>
      </c>
    </row>
    <row r="40" spans="1:9" ht="30" customHeight="1">
      <c r="A40" s="97" t="s">
        <v>120</v>
      </c>
      <c r="B40" s="98" t="s">
        <v>116</v>
      </c>
      <c r="C40" s="99" t="s">
        <v>121</v>
      </c>
      <c r="D40" s="99" t="s">
        <v>118</v>
      </c>
      <c r="E40" s="110">
        <v>4.55</v>
      </c>
      <c r="F40" s="107">
        <v>1</v>
      </c>
      <c r="G40" s="101">
        <f>H40*0.8*2*3*7.5</f>
        <v>7200</v>
      </c>
      <c r="H40" s="119">
        <v>200</v>
      </c>
      <c r="I40" s="102" t="s">
        <v>122</v>
      </c>
    </row>
    <row r="41" spans="1:9" ht="30" customHeight="1">
      <c r="A41" s="103" t="s">
        <v>123</v>
      </c>
      <c r="B41" s="104" t="s">
        <v>116</v>
      </c>
      <c r="C41" s="105" t="s">
        <v>121</v>
      </c>
      <c r="D41" s="105" t="s">
        <v>118</v>
      </c>
      <c r="E41" s="106">
        <v>4.55</v>
      </c>
      <c r="F41" s="107">
        <v>1</v>
      </c>
      <c r="G41" s="108">
        <f>H41*0.8*2*3*7.5</f>
        <v>6480</v>
      </c>
      <c r="H41" s="120">
        <v>180</v>
      </c>
      <c r="I41" s="109" t="s">
        <v>124</v>
      </c>
    </row>
    <row r="42" spans="1:9" ht="30" customHeight="1">
      <c r="A42" s="97" t="s">
        <v>125</v>
      </c>
      <c r="B42" s="98" t="s">
        <v>39</v>
      </c>
      <c r="C42" s="99" t="s">
        <v>126</v>
      </c>
      <c r="D42" s="99" t="s">
        <v>127</v>
      </c>
      <c r="E42" s="110">
        <v>4.5</v>
      </c>
      <c r="F42" s="107">
        <v>1</v>
      </c>
      <c r="G42" s="126">
        <f>H42*0.8*2*3*7.5</f>
        <v>720000</v>
      </c>
      <c r="H42" s="119">
        <v>20000</v>
      </c>
      <c r="I42" s="102" t="s">
        <v>128</v>
      </c>
    </row>
    <row r="43" spans="1:9" ht="30" customHeight="1">
      <c r="A43" s="103" t="s">
        <v>129</v>
      </c>
      <c r="B43" s="104" t="s">
        <v>39</v>
      </c>
      <c r="C43" s="105" t="s">
        <v>130</v>
      </c>
      <c r="D43" s="105" t="s">
        <v>131</v>
      </c>
      <c r="E43" s="106">
        <v>4.45</v>
      </c>
      <c r="F43" s="107">
        <v>1</v>
      </c>
      <c r="G43" s="126">
        <f>H43*0.8*2*3*7.5</f>
        <v>6480000</v>
      </c>
      <c r="H43" s="120">
        <v>180000</v>
      </c>
      <c r="I43" s="109" t="s">
        <v>132</v>
      </c>
    </row>
    <row r="44" spans="1:9" ht="30" customHeight="1">
      <c r="A44" s="103" t="s">
        <v>133</v>
      </c>
      <c r="B44" s="104" t="s">
        <v>39</v>
      </c>
      <c r="C44" s="105" t="s">
        <v>134</v>
      </c>
      <c r="D44" s="105" t="s">
        <v>135</v>
      </c>
      <c r="E44" s="106">
        <v>4.4000000000000004</v>
      </c>
      <c r="F44" s="107">
        <v>1</v>
      </c>
      <c r="G44" s="108">
        <f>H44*0.8*2*3*7.5</f>
        <v>144000</v>
      </c>
      <c r="H44" s="120">
        <v>4000</v>
      </c>
      <c r="I44" s="109" t="s">
        <v>136</v>
      </c>
    </row>
    <row r="45" spans="1:9" ht="30" customHeight="1">
      <c r="A45" s="97" t="s">
        <v>137</v>
      </c>
      <c r="B45" s="98" t="s">
        <v>39</v>
      </c>
      <c r="C45" s="99" t="s">
        <v>138</v>
      </c>
      <c r="D45" s="99" t="s">
        <v>139</v>
      </c>
      <c r="E45" s="110">
        <v>4.3499999999999996</v>
      </c>
      <c r="F45" s="107">
        <v>1</v>
      </c>
      <c r="G45" s="101">
        <f>H45*0.8*2*3*7.5</f>
        <v>288000</v>
      </c>
      <c r="H45" s="119">
        <v>8000</v>
      </c>
      <c r="I45" s="102" t="s">
        <v>140</v>
      </c>
    </row>
    <row r="46" spans="1:9" ht="30" customHeight="1">
      <c r="A46" s="103" t="s">
        <v>141</v>
      </c>
      <c r="B46" s="104" t="s">
        <v>39</v>
      </c>
      <c r="C46" s="105" t="s">
        <v>142</v>
      </c>
      <c r="D46" s="105" t="s">
        <v>143</v>
      </c>
      <c r="E46" s="106">
        <v>4.3499999999999996</v>
      </c>
      <c r="F46" s="107">
        <v>1</v>
      </c>
      <c r="G46" s="126">
        <f>H46*0.8*2*3*7.5</f>
        <v>522000</v>
      </c>
      <c r="H46" s="120">
        <v>14500</v>
      </c>
      <c r="I46" s="109" t="s">
        <v>144</v>
      </c>
    </row>
    <row r="47" spans="1:9" ht="30" customHeight="1">
      <c r="A47" s="97" t="s">
        <v>145</v>
      </c>
      <c r="B47" s="98" t="s">
        <v>39</v>
      </c>
      <c r="C47" s="99" t="s">
        <v>146</v>
      </c>
      <c r="D47" s="99" t="s">
        <v>147</v>
      </c>
      <c r="E47" s="110">
        <v>4.3</v>
      </c>
      <c r="F47" s="107">
        <v>1</v>
      </c>
      <c r="G47" s="126">
        <f>H47*0.8*2*3*7.5</f>
        <v>432000</v>
      </c>
      <c r="H47" s="119">
        <v>12000</v>
      </c>
      <c r="I47" s="102" t="s">
        <v>148</v>
      </c>
    </row>
    <row r="48" spans="1:9" ht="30" customHeight="1">
      <c r="A48" s="103" t="s">
        <v>149</v>
      </c>
      <c r="B48" s="104" t="s">
        <v>39</v>
      </c>
      <c r="C48" s="105" t="s">
        <v>146</v>
      </c>
      <c r="D48" s="105" t="s">
        <v>150</v>
      </c>
      <c r="E48" s="106">
        <v>4.3</v>
      </c>
      <c r="F48" s="107">
        <v>1</v>
      </c>
      <c r="G48" s="126">
        <f>H48*0.8*2*3*7.5</f>
        <v>432000</v>
      </c>
      <c r="H48" s="120">
        <v>12000</v>
      </c>
      <c r="I48" s="109" t="s">
        <v>151</v>
      </c>
    </row>
    <row r="49" spans="1:9" ht="30" customHeight="1">
      <c r="A49" s="97" t="s">
        <v>152</v>
      </c>
      <c r="B49" s="98" t="s">
        <v>39</v>
      </c>
      <c r="C49" s="99" t="s">
        <v>153</v>
      </c>
      <c r="D49" s="99" t="s">
        <v>154</v>
      </c>
      <c r="E49" s="110">
        <v>4.25</v>
      </c>
      <c r="F49" s="107">
        <v>1</v>
      </c>
      <c r="G49" s="101">
        <f>H49*0.8*2*3*7.5</f>
        <v>288000</v>
      </c>
      <c r="H49" s="119">
        <v>8000</v>
      </c>
      <c r="I49" s="102" t="s">
        <v>155</v>
      </c>
    </row>
    <row r="50" spans="1:9" ht="30" customHeight="1">
      <c r="A50" s="103" t="s">
        <v>156</v>
      </c>
      <c r="B50" s="104" t="s">
        <v>39</v>
      </c>
      <c r="C50" s="105" t="s">
        <v>40</v>
      </c>
      <c r="D50" s="105" t="s">
        <v>157</v>
      </c>
      <c r="E50" s="106">
        <v>4.25</v>
      </c>
      <c r="F50" s="107">
        <v>1</v>
      </c>
      <c r="G50" s="126">
        <f>H50*0.8*2*3*7.5</f>
        <v>360000</v>
      </c>
      <c r="H50" s="120">
        <v>10000</v>
      </c>
      <c r="I50" s="109" t="s">
        <v>158</v>
      </c>
    </row>
    <row r="51" spans="1:9" ht="30" customHeight="1">
      <c r="A51" s="97" t="s">
        <v>159</v>
      </c>
      <c r="B51" s="98" t="s">
        <v>39</v>
      </c>
      <c r="C51" s="99" t="s">
        <v>160</v>
      </c>
      <c r="D51" s="99" t="s">
        <v>161</v>
      </c>
      <c r="E51" s="110">
        <v>4.25</v>
      </c>
      <c r="F51" s="107">
        <v>1</v>
      </c>
      <c r="G51" s="101">
        <f>H51*0.8*2*3*7.5</f>
        <v>180000</v>
      </c>
      <c r="H51" s="119">
        <v>5000</v>
      </c>
      <c r="I51" s="102" t="s">
        <v>162</v>
      </c>
    </row>
    <row r="52" spans="1:9" ht="30" customHeight="1">
      <c r="A52" s="103" t="s">
        <v>163</v>
      </c>
      <c r="B52" s="104" t="s">
        <v>39</v>
      </c>
      <c r="C52" s="105" t="s">
        <v>164</v>
      </c>
      <c r="D52" s="105" t="s">
        <v>165</v>
      </c>
      <c r="E52" s="106">
        <v>4.1500000000000004</v>
      </c>
      <c r="F52" s="107">
        <v>1</v>
      </c>
      <c r="G52" s="126">
        <f>H52*0.8*2*3*7.5</f>
        <v>936000</v>
      </c>
      <c r="H52" s="120">
        <v>26000</v>
      </c>
      <c r="I52" s="125" t="s">
        <v>166</v>
      </c>
    </row>
    <row r="53" spans="1:9" ht="30" customHeight="1">
      <c r="A53" s="97" t="s">
        <v>167</v>
      </c>
      <c r="B53" s="98" t="s">
        <v>39</v>
      </c>
      <c r="C53" s="99" t="s">
        <v>168</v>
      </c>
      <c r="D53" s="99" t="s">
        <v>169</v>
      </c>
      <c r="E53" s="110">
        <v>4.1500000000000004</v>
      </c>
      <c r="F53" s="107">
        <v>1</v>
      </c>
      <c r="G53" s="126">
        <f>H53*0.8*2*3*7.5</f>
        <v>864000</v>
      </c>
      <c r="H53" s="119">
        <v>24000</v>
      </c>
      <c r="I53" s="102" t="s">
        <v>170</v>
      </c>
    </row>
    <row r="54" spans="1:9" ht="30" customHeight="1">
      <c r="A54" s="97" t="s">
        <v>171</v>
      </c>
      <c r="B54" s="98" t="s">
        <v>39</v>
      </c>
      <c r="C54" s="99" t="s">
        <v>172</v>
      </c>
      <c r="D54" s="99" t="s">
        <v>173</v>
      </c>
      <c r="E54" s="110">
        <v>4.05</v>
      </c>
      <c r="F54" s="107">
        <v>1</v>
      </c>
      <c r="G54" s="101">
        <f>H54*0.8*2*3*7.5</f>
        <v>216000</v>
      </c>
      <c r="H54" s="119">
        <v>6000</v>
      </c>
      <c r="I54" s="102" t="s">
        <v>174</v>
      </c>
    </row>
    <row r="55" spans="1:9" ht="30" customHeight="1">
      <c r="A55" s="103" t="s">
        <v>175</v>
      </c>
      <c r="B55" s="104" t="s">
        <v>39</v>
      </c>
      <c r="C55" s="105" t="s">
        <v>176</v>
      </c>
      <c r="D55" s="105" t="s">
        <v>177</v>
      </c>
      <c r="E55" s="106">
        <v>4.05</v>
      </c>
      <c r="F55" s="107">
        <v>1</v>
      </c>
      <c r="G55" s="108">
        <f>H55*0.8*2*3*7.5</f>
        <v>126000</v>
      </c>
      <c r="H55" s="120">
        <v>3500</v>
      </c>
      <c r="I55" s="109" t="s">
        <v>178</v>
      </c>
    </row>
    <row r="56" spans="1:9" ht="30" customHeight="1">
      <c r="A56" s="97" t="s">
        <v>179</v>
      </c>
      <c r="B56" s="98" t="s">
        <v>39</v>
      </c>
      <c r="C56" s="99" t="s">
        <v>168</v>
      </c>
      <c r="D56" s="99" t="s">
        <v>180</v>
      </c>
      <c r="E56" s="110">
        <v>4</v>
      </c>
      <c r="F56" s="107">
        <v>1</v>
      </c>
      <c r="G56" s="126">
        <f>H56*0.8*2*3*7.5</f>
        <v>1080000</v>
      </c>
      <c r="H56" s="119">
        <v>30000</v>
      </c>
      <c r="I56" s="102" t="s">
        <v>181</v>
      </c>
    </row>
    <row r="57" spans="1:9" ht="30" customHeight="1">
      <c r="A57" s="103" t="s">
        <v>182</v>
      </c>
      <c r="B57" s="104" t="s">
        <v>39</v>
      </c>
      <c r="C57" s="105" t="s">
        <v>183</v>
      </c>
      <c r="D57" s="105" t="s">
        <v>184</v>
      </c>
      <c r="E57" s="106">
        <v>4</v>
      </c>
      <c r="F57" s="107">
        <v>1</v>
      </c>
      <c r="G57" s="126">
        <f>H57*0.8*2*3*7.5</f>
        <v>900000</v>
      </c>
      <c r="H57" s="120">
        <v>25000</v>
      </c>
      <c r="I57" s="109" t="s">
        <v>185</v>
      </c>
    </row>
    <row r="58" spans="1:9" ht="30" customHeight="1">
      <c r="A58" s="103" t="s">
        <v>186</v>
      </c>
      <c r="B58" s="104" t="s">
        <v>39</v>
      </c>
      <c r="C58" s="105" t="s">
        <v>187</v>
      </c>
      <c r="D58" s="105" t="s">
        <v>188</v>
      </c>
      <c r="E58" s="106">
        <v>3.85</v>
      </c>
      <c r="F58" s="111">
        <v>2</v>
      </c>
      <c r="G58" s="108">
        <f>H58*0.8*2*3*7.5</f>
        <v>144000</v>
      </c>
      <c r="H58" s="120">
        <v>4000</v>
      </c>
      <c r="I58" s="109" t="s">
        <v>189</v>
      </c>
    </row>
    <row r="59" spans="1:9" ht="30" customHeight="1">
      <c r="A59" s="97" t="s">
        <v>190</v>
      </c>
      <c r="B59" s="98" t="s">
        <v>39</v>
      </c>
      <c r="C59" s="99" t="s">
        <v>191</v>
      </c>
      <c r="D59" s="99" t="s">
        <v>192</v>
      </c>
      <c r="E59" s="110">
        <v>3.8</v>
      </c>
      <c r="F59" s="111">
        <v>2</v>
      </c>
      <c r="G59" s="126">
        <f>H59*0.8*2*3*7.5</f>
        <v>540000</v>
      </c>
      <c r="H59" s="119">
        <v>15000</v>
      </c>
      <c r="I59" s="102" t="s">
        <v>193</v>
      </c>
    </row>
    <row r="60" spans="1:9" ht="30" customHeight="1">
      <c r="A60" s="103" t="s">
        <v>194</v>
      </c>
      <c r="B60" s="104" t="s">
        <v>39</v>
      </c>
      <c r="C60" s="105" t="s">
        <v>195</v>
      </c>
      <c r="D60" s="105" t="s">
        <v>196</v>
      </c>
      <c r="E60" s="106">
        <v>3.8</v>
      </c>
      <c r="F60" s="111">
        <v>2</v>
      </c>
      <c r="G60" s="126">
        <f>H60*0.8*2*3*7.5</f>
        <v>576000</v>
      </c>
      <c r="H60" s="120">
        <v>16000</v>
      </c>
      <c r="I60" s="109" t="s">
        <v>197</v>
      </c>
    </row>
    <row r="61" spans="1:9" ht="30" customHeight="1">
      <c r="A61" s="97" t="s">
        <v>198</v>
      </c>
      <c r="B61" s="98" t="s">
        <v>39</v>
      </c>
      <c r="C61" s="99" t="s">
        <v>199</v>
      </c>
      <c r="D61" s="99" t="s">
        <v>200</v>
      </c>
      <c r="E61" s="110">
        <v>3.8</v>
      </c>
      <c r="F61" s="111">
        <v>2</v>
      </c>
      <c r="G61" s="126">
        <f>H61*0.8*2*3*7.5</f>
        <v>504000</v>
      </c>
      <c r="H61" s="119">
        <v>14000</v>
      </c>
      <c r="I61" s="102" t="s">
        <v>201</v>
      </c>
    </row>
    <row r="62" spans="1:9" ht="21.75" customHeight="1">
      <c r="A62" s="124" t="s">
        <v>13</v>
      </c>
      <c r="B62" s="124"/>
      <c r="C62" s="124"/>
      <c r="D62" s="124"/>
      <c r="E62" s="124"/>
      <c r="F62" s="124"/>
      <c r="G62" s="124"/>
      <c r="H62" s="124"/>
      <c r="I62" s="124"/>
    </row>
    <row r="63" spans="1:9" ht="30" customHeight="1">
      <c r="A63" s="97" t="s">
        <v>202</v>
      </c>
      <c r="B63" s="98" t="s">
        <v>203</v>
      </c>
      <c r="C63" s="99" t="s">
        <v>204</v>
      </c>
      <c r="D63" s="99" t="s">
        <v>205</v>
      </c>
      <c r="E63" s="110">
        <v>4.55</v>
      </c>
      <c r="F63" s="107">
        <v>1</v>
      </c>
      <c r="G63" s="126">
        <f>H63*0.8*2*3*7.5</f>
        <v>648000</v>
      </c>
      <c r="H63" s="119">
        <v>18000</v>
      </c>
      <c r="I63" s="102" t="s">
        <v>206</v>
      </c>
    </row>
    <row r="64" spans="1:9" ht="30" customHeight="1">
      <c r="A64" s="103" t="s">
        <v>207</v>
      </c>
      <c r="B64" s="104" t="s">
        <v>203</v>
      </c>
      <c r="C64" s="105" t="s">
        <v>208</v>
      </c>
      <c r="D64" s="105" t="s">
        <v>209</v>
      </c>
      <c r="E64" s="106">
        <v>4.55</v>
      </c>
      <c r="F64" s="107">
        <v>1</v>
      </c>
      <c r="G64" s="126">
        <f>H64*0.8*2*3*7.5</f>
        <v>540000</v>
      </c>
      <c r="H64" s="120">
        <v>15000</v>
      </c>
      <c r="I64" s="109" t="s">
        <v>210</v>
      </c>
    </row>
    <row r="65" spans="1:9" ht="30" customHeight="1">
      <c r="A65" s="97" t="s">
        <v>211</v>
      </c>
      <c r="B65" s="98" t="s">
        <v>26</v>
      </c>
      <c r="C65" s="99" t="s">
        <v>44</v>
      </c>
      <c r="D65" s="99" t="s">
        <v>212</v>
      </c>
      <c r="E65" s="110">
        <v>4.4000000000000004</v>
      </c>
      <c r="F65" s="107">
        <v>1</v>
      </c>
      <c r="G65" s="126">
        <f>H65*0.8*2*3*7.5</f>
        <v>900000</v>
      </c>
      <c r="H65" s="119">
        <v>25000</v>
      </c>
      <c r="I65" s="102" t="s">
        <v>213</v>
      </c>
    </row>
    <row r="66" spans="1:9" ht="30" customHeight="1">
      <c r="A66" s="103" t="s">
        <v>214</v>
      </c>
      <c r="B66" s="104" t="s">
        <v>203</v>
      </c>
      <c r="C66" s="105" t="s">
        <v>204</v>
      </c>
      <c r="D66" s="105" t="s">
        <v>215</v>
      </c>
      <c r="E66" s="106">
        <v>4.2</v>
      </c>
      <c r="F66" s="107">
        <v>1</v>
      </c>
      <c r="G66" s="108">
        <f>H66*0.8*2*3*7.5</f>
        <v>180000</v>
      </c>
      <c r="H66" s="120">
        <v>5000</v>
      </c>
      <c r="I66" s="109" t="s">
        <v>216</v>
      </c>
    </row>
    <row r="67" spans="1:9" ht="30" customHeight="1">
      <c r="A67" s="97" t="s">
        <v>217</v>
      </c>
      <c r="B67" s="98" t="s">
        <v>203</v>
      </c>
      <c r="C67" s="99" t="s">
        <v>208</v>
      </c>
      <c r="D67" s="99" t="s">
        <v>218</v>
      </c>
      <c r="E67" s="110">
        <v>4.2</v>
      </c>
      <c r="F67" s="107">
        <v>1</v>
      </c>
      <c r="G67" s="101">
        <f>H67*0.8*2*3*7.5</f>
        <v>108000</v>
      </c>
      <c r="H67" s="119">
        <v>3000</v>
      </c>
      <c r="I67" s="102" t="s">
        <v>219</v>
      </c>
    </row>
    <row r="68" spans="1:9" ht="30" customHeight="1">
      <c r="A68" s="103" t="s">
        <v>220</v>
      </c>
      <c r="B68" s="104" t="s">
        <v>221</v>
      </c>
      <c r="C68" s="105" t="s">
        <v>222</v>
      </c>
      <c r="D68" s="105" t="s">
        <v>223</v>
      </c>
      <c r="E68" s="106">
        <v>3.85</v>
      </c>
      <c r="F68" s="111">
        <v>2</v>
      </c>
      <c r="G68" s="126">
        <f>H68*0.8*2*3*7.5</f>
        <v>8280000</v>
      </c>
      <c r="H68" s="120">
        <v>230000</v>
      </c>
      <c r="I68" s="127" t="s">
        <v>224</v>
      </c>
    </row>
    <row r="69" spans="1:9" ht="30" customHeight="1">
      <c r="A69" s="97" t="s">
        <v>225</v>
      </c>
      <c r="B69" s="98" t="s">
        <v>226</v>
      </c>
      <c r="C69" s="99" t="s">
        <v>227</v>
      </c>
      <c r="D69" s="99" t="s">
        <v>228</v>
      </c>
      <c r="E69" s="110">
        <v>3.8</v>
      </c>
      <c r="F69" s="111">
        <v>2</v>
      </c>
      <c r="G69" s="126">
        <f>H69*0.8*2*3*7.5</f>
        <v>26424000</v>
      </c>
      <c r="H69" s="119">
        <v>734000</v>
      </c>
      <c r="I69" s="102" t="s">
        <v>229</v>
      </c>
    </row>
    <row r="70" spans="1:9" ht="21.75" customHeight="1">
      <c r="A70" s="124" t="s">
        <v>97</v>
      </c>
      <c r="B70" s="124"/>
      <c r="C70" s="124"/>
      <c r="D70" s="124"/>
      <c r="E70" s="124"/>
      <c r="F70" s="124"/>
      <c r="G70" s="124"/>
      <c r="H70" s="124"/>
      <c r="I70" s="124"/>
    </row>
    <row r="71" spans="1:9" ht="30" customHeight="1">
      <c r="A71" s="97" t="s">
        <v>230</v>
      </c>
      <c r="B71" s="98" t="s">
        <v>231</v>
      </c>
      <c r="C71" s="99" t="s">
        <v>232</v>
      </c>
      <c r="D71" s="99" t="s">
        <v>233</v>
      </c>
      <c r="E71" s="110">
        <v>4.4000000000000004</v>
      </c>
      <c r="F71" s="107">
        <v>1</v>
      </c>
      <c r="G71" s="126">
        <f>H71*0.8*2*3*7.5</f>
        <v>432000</v>
      </c>
      <c r="H71" s="119">
        <v>12000</v>
      </c>
      <c r="I71" s="102" t="s">
        <v>234</v>
      </c>
    </row>
    <row r="72" spans="1:9" ht="30" customHeight="1">
      <c r="A72" s="103" t="s">
        <v>235</v>
      </c>
      <c r="B72" s="104" t="s">
        <v>231</v>
      </c>
      <c r="C72" s="105" t="s">
        <v>236</v>
      </c>
      <c r="D72" s="105" t="s">
        <v>237</v>
      </c>
      <c r="E72" s="106">
        <v>3.4</v>
      </c>
      <c r="F72" s="111">
        <v>2</v>
      </c>
      <c r="G72" s="108">
        <f>H72*0.8*2*3*7.5</f>
        <v>288000</v>
      </c>
      <c r="H72" s="120">
        <v>8000</v>
      </c>
      <c r="I72" s="109" t="s">
        <v>238</v>
      </c>
    </row>
    <row r="73" spans="1:9" ht="21.75" customHeight="1">
      <c r="A73" s="124" t="s">
        <v>51</v>
      </c>
      <c r="B73" s="124"/>
      <c r="C73" s="124"/>
      <c r="D73" s="124"/>
      <c r="E73" s="124"/>
      <c r="F73" s="124"/>
      <c r="G73" s="124"/>
      <c r="H73" s="124"/>
      <c r="I73" s="124"/>
    </row>
    <row r="74" spans="1:9" ht="30" customHeight="1">
      <c r="A74" s="97" t="s">
        <v>239</v>
      </c>
      <c r="B74" s="98" t="s">
        <v>60</v>
      </c>
      <c r="C74" s="99" t="s">
        <v>240</v>
      </c>
      <c r="D74" s="99" t="s">
        <v>41</v>
      </c>
      <c r="E74" s="110">
        <v>4.0999999999999996</v>
      </c>
      <c r="F74" s="107">
        <v>1</v>
      </c>
      <c r="G74" s="101">
        <f>H74*0.8*2*3*7.5</f>
        <v>144000</v>
      </c>
      <c r="H74" s="119">
        <v>4000</v>
      </c>
      <c r="I74" s="102" t="s">
        <v>241</v>
      </c>
    </row>
    <row r="75" spans="1:9" ht="30" customHeight="1">
      <c r="A75" s="103" t="s">
        <v>242</v>
      </c>
      <c r="B75" s="104" t="s">
        <v>243</v>
      </c>
      <c r="C75" s="105" t="s">
        <v>244</v>
      </c>
      <c r="D75" s="105" t="s">
        <v>245</v>
      </c>
      <c r="E75" s="106">
        <v>3.8</v>
      </c>
      <c r="F75" s="111">
        <v>2</v>
      </c>
      <c r="G75" s="108">
        <f>H75*0.8*2*3*7.5</f>
        <v>180000</v>
      </c>
      <c r="H75" s="120">
        <v>5000</v>
      </c>
      <c r="I75" s="109" t="s">
        <v>246</v>
      </c>
    </row>
    <row r="76" spans="1:9" ht="30" customHeight="1">
      <c r="A76" s="97" t="s">
        <v>247</v>
      </c>
      <c r="B76" s="98" t="s">
        <v>248</v>
      </c>
      <c r="C76" s="99" t="s">
        <v>249</v>
      </c>
      <c r="D76" s="99" t="s">
        <v>250</v>
      </c>
      <c r="E76" s="110">
        <v>3.8</v>
      </c>
      <c r="F76" s="111">
        <v>2</v>
      </c>
      <c r="G76" s="101">
        <f>H76*0.8*2*3*7.5</f>
        <v>216000</v>
      </c>
      <c r="H76" s="119">
        <v>6000</v>
      </c>
      <c r="I76" s="102" t="s">
        <v>251</v>
      </c>
    </row>
    <row r="77" spans="1:9" ht="30" customHeight="1">
      <c r="A77" s="103" t="s">
        <v>76</v>
      </c>
      <c r="B77" s="104" t="s">
        <v>60</v>
      </c>
      <c r="C77" s="105" t="s">
        <v>77</v>
      </c>
      <c r="D77" s="105" t="s">
        <v>78</v>
      </c>
      <c r="E77" s="106">
        <v>3.35</v>
      </c>
      <c r="F77" s="111">
        <v>2</v>
      </c>
      <c r="G77" s="126">
        <f>H77*0.8*2*3*7.5</f>
        <v>2700000</v>
      </c>
      <c r="H77" s="120">
        <v>75000</v>
      </c>
      <c r="I77" s="109" t="s">
        <v>252</v>
      </c>
    </row>
    <row r="78" spans="1:9" ht="21.75" customHeight="1">
      <c r="A78" s="124" t="s">
        <v>253</v>
      </c>
      <c r="B78" s="124"/>
      <c r="C78" s="124"/>
      <c r="D78" s="124"/>
      <c r="E78" s="124"/>
      <c r="F78" s="124"/>
      <c r="G78" s="124"/>
      <c r="H78" s="124"/>
      <c r="I78" s="124"/>
    </row>
    <row r="79" spans="1:9" ht="30" customHeight="1">
      <c r="A79" s="97" t="s">
        <v>254</v>
      </c>
      <c r="B79" s="98" t="s">
        <v>255</v>
      </c>
      <c r="C79" s="99" t="s">
        <v>222</v>
      </c>
      <c r="D79" s="99" t="s">
        <v>256</v>
      </c>
      <c r="E79" s="110">
        <v>4.2</v>
      </c>
      <c r="F79" s="107">
        <v>1</v>
      </c>
      <c r="G79" s="126">
        <f>H79*0.8*2*3*7.5</f>
        <v>25200000</v>
      </c>
      <c r="H79" s="119">
        <v>700000</v>
      </c>
      <c r="I79" s="102" t="s">
        <v>257</v>
      </c>
    </row>
    <row r="80" spans="1:9" ht="21.75" customHeight="1">
      <c r="A80" s="124" t="s">
        <v>88</v>
      </c>
      <c r="B80" s="124"/>
      <c r="C80" s="124"/>
      <c r="D80" s="124"/>
      <c r="E80" s="124"/>
      <c r="F80" s="124"/>
      <c r="G80" s="124"/>
      <c r="H80" s="124"/>
      <c r="I80" s="124"/>
    </row>
    <row r="81" spans="1:9" ht="30" customHeight="1">
      <c r="A81" s="103" t="s">
        <v>258</v>
      </c>
      <c r="B81" s="104" t="s">
        <v>259</v>
      </c>
      <c r="C81" s="105" t="s">
        <v>44</v>
      </c>
      <c r="D81" s="105" t="s">
        <v>260</v>
      </c>
      <c r="E81" s="106">
        <v>4.8</v>
      </c>
      <c r="F81" s="107">
        <v>1</v>
      </c>
      <c r="G81" s="108">
        <f>H81*0.8*2*3*7.5</f>
        <v>288000</v>
      </c>
      <c r="H81" s="120">
        <v>8000</v>
      </c>
      <c r="I81" s="109" t="s">
        <v>261</v>
      </c>
    </row>
    <row r="82" spans="1:9" ht="30" customHeight="1">
      <c r="A82" s="97" t="s">
        <v>262</v>
      </c>
      <c r="B82" s="98" t="s">
        <v>90</v>
      </c>
      <c r="C82" s="99" t="s">
        <v>263</v>
      </c>
      <c r="D82" s="99" t="s">
        <v>264</v>
      </c>
      <c r="E82" s="110">
        <v>4.25</v>
      </c>
      <c r="F82" s="107">
        <v>1</v>
      </c>
      <c r="G82" s="101">
        <f>H82*0.8*2*3*7.5</f>
        <v>126000</v>
      </c>
      <c r="H82" s="119">
        <v>3500</v>
      </c>
      <c r="I82" s="102" t="s">
        <v>265</v>
      </c>
    </row>
    <row r="84" spans="1:9">
      <c r="A84" s="113" t="s">
        <v>266</v>
      </c>
    </row>
    <row r="85" spans="1:9">
      <c r="A85" s="114" t="s">
        <v>267</v>
      </c>
      <c r="B85" s="115">
        <v>63</v>
      </c>
    </row>
    <row r="86" spans="1:9">
      <c r="A86" s="114" t="s">
        <v>268</v>
      </c>
      <c r="B86" s="115">
        <v>41</v>
      </c>
    </row>
    <row r="87" spans="1:9">
      <c r="A87" s="114" t="s">
        <v>269</v>
      </c>
      <c r="B87" s="115">
        <v>17</v>
      </c>
    </row>
    <row r="88" spans="1:9">
      <c r="A88" s="114" t="s">
        <v>270</v>
      </c>
      <c r="B88" s="115">
        <v>5</v>
      </c>
    </row>
    <row r="89" spans="1:9">
      <c r="A89" s="114" t="s">
        <v>271</v>
      </c>
      <c r="B89" s="115" t="s">
        <v>272</v>
      </c>
    </row>
    <row r="90" spans="1:9">
      <c r="A90" s="114" t="s">
        <v>273</v>
      </c>
      <c r="B90" s="115" t="s">
        <v>274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1"/>
  <sheetViews>
    <sheetView workbookViewId="0">
      <selection activeCell="B16" sqref="B16"/>
    </sheetView>
  </sheetViews>
  <sheetFormatPr defaultColWidth="9.140625" defaultRowHeight="15"/>
  <cols>
    <col min="1" max="1" width="37.85546875" style="52" customWidth="1"/>
    <col min="2" max="2" width="17.28515625" style="52" customWidth="1"/>
    <col min="3" max="3" width="43" style="52" customWidth="1"/>
    <col min="4" max="4" width="22.42578125" style="52" customWidth="1"/>
    <col min="5" max="5" width="11.140625" style="52" customWidth="1"/>
    <col min="6" max="6" width="21.140625" style="52" hidden="1" customWidth="1"/>
    <col min="7" max="7" width="15.140625" style="52" hidden="1" customWidth="1"/>
    <col min="8" max="8" width="13" style="52" customWidth="1"/>
    <col min="9" max="9" width="18.42578125" style="52" customWidth="1"/>
    <col min="10" max="11" width="10.28515625" style="52" customWidth="1"/>
    <col min="12" max="12" width="14.28515625" style="52" customWidth="1"/>
    <col min="13" max="13" width="9.140625" style="52" customWidth="1"/>
    <col min="14" max="16384" width="9.140625" style="52"/>
  </cols>
  <sheetData>
    <row r="1" spans="1:24" s="45" customFormat="1" ht="21" customHeight="1">
      <c r="A1" s="150" t="s">
        <v>275</v>
      </c>
      <c r="B1" s="150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2" spans="1:24" s="47" customFormat="1" ht="32.1" customHeight="1">
      <c r="A2" s="46" t="s">
        <v>276</v>
      </c>
      <c r="B2" s="46"/>
      <c r="C2" s="46" t="s">
        <v>277</v>
      </c>
      <c r="D2" s="46" t="s">
        <v>278</v>
      </c>
      <c r="E2" s="47" t="s">
        <v>279</v>
      </c>
      <c r="F2" s="47" t="s">
        <v>280</v>
      </c>
      <c r="G2" s="47" t="s">
        <v>281</v>
      </c>
      <c r="H2" s="46" t="s">
        <v>282</v>
      </c>
      <c r="I2" s="46" t="s">
        <v>283</v>
      </c>
      <c r="J2" s="46" t="s">
        <v>284</v>
      </c>
      <c r="K2" s="46" t="s">
        <v>7</v>
      </c>
      <c r="L2" s="46" t="s">
        <v>285</v>
      </c>
      <c r="M2" s="46" t="s">
        <v>286</v>
      </c>
      <c r="N2" s="46"/>
      <c r="O2" s="46"/>
    </row>
    <row r="3" spans="1:24" s="50" customFormat="1" ht="15.95" customHeight="1">
      <c r="A3" s="48" t="s">
        <v>287</v>
      </c>
      <c r="B3" s="48" t="s">
        <v>288</v>
      </c>
      <c r="C3" s="48"/>
      <c r="D3" s="49"/>
      <c r="H3" s="49"/>
      <c r="I3" s="49"/>
      <c r="J3" s="49"/>
      <c r="K3" s="49"/>
      <c r="L3" s="49"/>
      <c r="M3" s="49"/>
      <c r="N3" s="49"/>
      <c r="O3" s="49"/>
    </row>
    <row r="4" spans="1:24" ht="29.25" customHeight="1">
      <c r="A4" s="76" t="s">
        <v>289</v>
      </c>
      <c r="B4" s="76" t="s">
        <v>290</v>
      </c>
      <c r="C4" s="76" t="s">
        <v>291</v>
      </c>
      <c r="D4" s="76" t="s">
        <v>292</v>
      </c>
      <c r="E4" s="77" t="s">
        <v>293</v>
      </c>
      <c r="F4" s="51" t="s">
        <v>294</v>
      </c>
      <c r="G4" s="51"/>
      <c r="H4" s="76" t="s">
        <v>16</v>
      </c>
      <c r="I4" s="76" t="s">
        <v>18</v>
      </c>
      <c r="J4" s="76" t="s">
        <v>295</v>
      </c>
      <c r="K4" s="76"/>
      <c r="L4" s="76" t="s">
        <v>27</v>
      </c>
      <c r="M4" s="76" t="s">
        <v>296</v>
      </c>
      <c r="N4" s="76"/>
      <c r="O4" s="76"/>
      <c r="P4" s="77"/>
      <c r="Q4" s="77"/>
      <c r="R4" s="77"/>
      <c r="S4" s="77"/>
      <c r="T4" s="77"/>
      <c r="U4" s="77"/>
      <c r="V4" s="77"/>
      <c r="W4" s="77"/>
      <c r="X4" s="77"/>
    </row>
    <row r="5" spans="1:24" s="67" customFormat="1" ht="16.5" customHeight="1">
      <c r="A5" s="48" t="s">
        <v>297</v>
      </c>
      <c r="B5" s="48"/>
      <c r="C5" s="48"/>
      <c r="D5" s="48"/>
      <c r="F5" s="68"/>
      <c r="G5" s="68"/>
      <c r="H5" s="48"/>
      <c r="I5" s="48"/>
      <c r="J5" s="48"/>
      <c r="K5" s="48"/>
      <c r="L5" s="48"/>
      <c r="M5" s="48"/>
      <c r="N5" s="48"/>
      <c r="O5" s="48"/>
    </row>
    <row r="6" spans="1:24" s="57" customFormat="1" ht="16.5" customHeight="1">
      <c r="A6" s="71"/>
      <c r="B6" s="71"/>
      <c r="C6" s="71"/>
      <c r="D6" s="71"/>
      <c r="F6" s="72"/>
      <c r="G6" s="72"/>
      <c r="H6" s="71"/>
      <c r="I6" s="71"/>
      <c r="J6" s="71"/>
      <c r="K6" s="71"/>
      <c r="L6" s="71"/>
      <c r="M6" s="71"/>
      <c r="N6" s="71"/>
      <c r="O6" s="71"/>
    </row>
    <row r="7" spans="1:24" s="53" customFormat="1" ht="15.95" customHeight="1">
      <c r="A7" s="48" t="s">
        <v>298</v>
      </c>
      <c r="B7" s="48"/>
      <c r="C7" s="48"/>
      <c r="D7" s="78"/>
      <c r="E7" s="79"/>
      <c r="F7" s="79"/>
      <c r="G7" s="79"/>
      <c r="H7" s="78"/>
      <c r="I7" s="78"/>
      <c r="J7" s="78"/>
      <c r="K7" s="78"/>
      <c r="L7" s="78"/>
      <c r="M7" s="78"/>
      <c r="N7" s="78"/>
      <c r="O7" s="78"/>
      <c r="P7" s="79"/>
      <c r="Q7" s="79"/>
      <c r="R7" s="79"/>
      <c r="S7" s="79"/>
      <c r="T7" s="79"/>
      <c r="U7" s="79"/>
      <c r="V7" s="79"/>
      <c r="W7" s="79"/>
      <c r="X7" s="79"/>
    </row>
    <row r="8" spans="1:24" ht="15.95" customHeight="1">
      <c r="A8" s="76" t="s">
        <v>299</v>
      </c>
      <c r="B8" s="76" t="s">
        <v>300</v>
      </c>
      <c r="C8" s="76" t="s">
        <v>301</v>
      </c>
      <c r="D8" s="76" t="s">
        <v>302</v>
      </c>
      <c r="E8" s="77" t="s">
        <v>303</v>
      </c>
      <c r="F8" s="77"/>
      <c r="G8" s="77"/>
      <c r="H8" s="76" t="s">
        <v>304</v>
      </c>
      <c r="I8" s="76" t="s">
        <v>305</v>
      </c>
      <c r="J8" s="76"/>
      <c r="K8" s="76"/>
      <c r="L8" s="76" t="s">
        <v>27</v>
      </c>
      <c r="M8" s="76" t="s">
        <v>296</v>
      </c>
      <c r="N8" s="76"/>
      <c r="O8" s="76"/>
      <c r="P8" s="77"/>
      <c r="Q8" s="77"/>
      <c r="R8" s="77"/>
      <c r="S8" s="77"/>
      <c r="T8" s="77"/>
      <c r="U8" s="77"/>
      <c r="V8" s="77"/>
      <c r="W8" s="77"/>
      <c r="X8" s="77"/>
    </row>
    <row r="9" spans="1:24" s="53" customFormat="1" ht="24" customHeight="1">
      <c r="A9" s="54" t="s">
        <v>306</v>
      </c>
      <c r="B9" s="54"/>
      <c r="C9" s="78"/>
      <c r="D9" s="78"/>
      <c r="E9" s="79"/>
      <c r="F9" s="79"/>
      <c r="G9" s="79"/>
      <c r="H9" s="78"/>
      <c r="I9" s="78"/>
      <c r="J9" s="78"/>
      <c r="K9" s="78"/>
      <c r="L9" s="78"/>
      <c r="M9" s="78"/>
      <c r="N9" s="78"/>
      <c r="O9" s="78"/>
      <c r="P9" s="79"/>
      <c r="Q9" s="79"/>
      <c r="R9" s="79"/>
      <c r="S9" s="79"/>
      <c r="T9" s="79"/>
      <c r="U9" s="79"/>
      <c r="V9" s="79"/>
      <c r="W9" s="79"/>
      <c r="X9" s="79"/>
    </row>
    <row r="10" spans="1:24" ht="15.95" customHeight="1">
      <c r="A10" s="76" t="s">
        <v>52</v>
      </c>
      <c r="B10" s="95">
        <f>18000*4*8</f>
        <v>576000</v>
      </c>
      <c r="C10" s="76" t="s">
        <v>307</v>
      </c>
      <c r="D10" s="77" t="s">
        <v>308</v>
      </c>
      <c r="E10" s="77" t="s">
        <v>309</v>
      </c>
      <c r="F10" s="77"/>
      <c r="G10" s="77"/>
      <c r="H10" s="76"/>
      <c r="I10" s="76" t="s">
        <v>310</v>
      </c>
      <c r="J10" s="5">
        <v>3.95</v>
      </c>
      <c r="K10" s="73">
        <v>2</v>
      </c>
      <c r="L10" s="76"/>
      <c r="M10" s="76" t="s">
        <v>296</v>
      </c>
      <c r="N10" s="76"/>
      <c r="O10" s="76"/>
      <c r="P10" s="77"/>
      <c r="Q10" s="77"/>
      <c r="R10" s="77"/>
      <c r="S10" s="77"/>
      <c r="T10" s="77"/>
      <c r="U10" s="77"/>
      <c r="V10" s="77"/>
      <c r="W10" s="77"/>
      <c r="X10" s="77"/>
    </row>
    <row r="11" spans="1:24" ht="15.95" customHeight="1">
      <c r="A11" s="76" t="s">
        <v>67</v>
      </c>
      <c r="B11" s="163" t="s">
        <v>300</v>
      </c>
      <c r="C11" s="76" t="s">
        <v>311</v>
      </c>
      <c r="D11" s="77" t="s">
        <v>312</v>
      </c>
      <c r="E11" s="77" t="s">
        <v>313</v>
      </c>
      <c r="F11" s="77"/>
      <c r="G11" s="77"/>
      <c r="H11" s="76"/>
      <c r="I11" s="76"/>
      <c r="J11" s="73"/>
      <c r="K11" s="73"/>
      <c r="L11" s="76"/>
      <c r="M11" s="76"/>
      <c r="N11" s="76"/>
      <c r="O11" s="76"/>
      <c r="P11" s="77"/>
      <c r="Q11" s="77"/>
      <c r="R11" s="77"/>
      <c r="S11" s="77"/>
      <c r="T11" s="77"/>
      <c r="U11" s="77"/>
      <c r="V11" s="77"/>
      <c r="W11" s="77"/>
      <c r="X11" s="77"/>
    </row>
    <row r="12" spans="1:24" ht="15.95" customHeight="1">
      <c r="A12" s="76" t="s">
        <v>71</v>
      </c>
      <c r="B12" s="95" t="s">
        <v>300</v>
      </c>
      <c r="C12" s="76" t="s">
        <v>314</v>
      </c>
      <c r="D12" s="77" t="s">
        <v>315</v>
      </c>
      <c r="E12" s="77"/>
      <c r="F12" s="77"/>
      <c r="G12" s="77"/>
      <c r="H12" s="76"/>
      <c r="I12" s="76"/>
      <c r="J12" s="73"/>
      <c r="K12" s="73"/>
      <c r="L12" s="76"/>
      <c r="M12" s="76"/>
      <c r="N12" s="76"/>
      <c r="O12" s="76"/>
      <c r="P12" s="77"/>
      <c r="Q12" s="77"/>
      <c r="R12" s="77"/>
      <c r="S12" s="77"/>
      <c r="T12" s="77"/>
      <c r="U12" s="77"/>
      <c r="V12" s="77"/>
      <c r="W12" s="77"/>
      <c r="X12" s="77"/>
    </row>
    <row r="13" spans="1:24" ht="18.95" customHeight="1">
      <c r="A13" s="76" t="s">
        <v>47</v>
      </c>
      <c r="B13" s="76" t="s">
        <v>300</v>
      </c>
      <c r="C13" s="76" t="s">
        <v>316</v>
      </c>
      <c r="D13" s="76" t="s">
        <v>317</v>
      </c>
      <c r="E13" s="77" t="s">
        <v>318</v>
      </c>
      <c r="F13" s="38" t="s">
        <v>319</v>
      </c>
      <c r="G13" s="77"/>
      <c r="H13" s="76"/>
      <c r="I13" s="76" t="s">
        <v>49</v>
      </c>
      <c r="J13" s="76" t="s">
        <v>320</v>
      </c>
      <c r="K13" s="76"/>
      <c r="L13" s="76"/>
      <c r="M13" s="76" t="s">
        <v>296</v>
      </c>
      <c r="N13" s="76"/>
      <c r="O13" s="76"/>
      <c r="P13" s="77"/>
      <c r="Q13" s="77"/>
      <c r="R13" s="77"/>
      <c r="S13" s="77"/>
      <c r="T13" s="77"/>
      <c r="U13" s="77"/>
      <c r="V13" s="77"/>
      <c r="W13" s="77"/>
      <c r="X13" s="77"/>
    </row>
    <row r="14" spans="1:24" ht="30" customHeight="1">
      <c r="A14" s="76" t="s">
        <v>321</v>
      </c>
      <c r="B14" s="76" t="s">
        <v>300</v>
      </c>
      <c r="C14" s="76" t="s">
        <v>316</v>
      </c>
      <c r="D14" s="76" t="s">
        <v>317</v>
      </c>
      <c r="E14" s="77"/>
      <c r="F14" s="38" t="s">
        <v>319</v>
      </c>
      <c r="G14" s="77"/>
      <c r="H14" s="76"/>
      <c r="I14" s="76"/>
      <c r="J14" s="5" t="s">
        <v>320</v>
      </c>
      <c r="K14" s="76"/>
      <c r="L14" s="76"/>
      <c r="M14" s="76" t="s">
        <v>296</v>
      </c>
      <c r="N14" s="76"/>
      <c r="O14" s="76"/>
      <c r="P14" s="77"/>
      <c r="Q14" s="77"/>
      <c r="R14" s="77"/>
      <c r="S14" s="77"/>
      <c r="T14" s="77"/>
      <c r="U14" s="77"/>
      <c r="V14" s="77"/>
      <c r="W14" s="77"/>
      <c r="X14" s="77"/>
    </row>
    <row r="15" spans="1:24">
      <c r="A15" s="76" t="s">
        <v>322</v>
      </c>
      <c r="B15" s="95">
        <v>284000</v>
      </c>
      <c r="C15" s="76" t="s">
        <v>323</v>
      </c>
      <c r="D15" s="76" t="s">
        <v>324</v>
      </c>
      <c r="E15" s="77"/>
      <c r="F15" s="77"/>
      <c r="G15" s="77"/>
      <c r="H15" s="76" t="s">
        <v>90</v>
      </c>
      <c r="I15" s="76" t="s">
        <v>325</v>
      </c>
      <c r="J15" s="76"/>
      <c r="K15" s="76"/>
      <c r="L15" s="76"/>
      <c r="M15" s="76" t="s">
        <v>296</v>
      </c>
      <c r="N15" s="76"/>
      <c r="O15" s="76"/>
      <c r="P15" s="77"/>
      <c r="Q15" s="77"/>
      <c r="R15" s="77"/>
      <c r="S15" s="77"/>
      <c r="T15" s="77"/>
      <c r="U15" s="77"/>
      <c r="V15" s="77"/>
      <c r="W15" s="77"/>
      <c r="X15" s="77"/>
    </row>
    <row r="16" spans="1:24">
      <c r="A16" s="76" t="s">
        <v>64</v>
      </c>
      <c r="B16" s="95"/>
      <c r="C16" s="76" t="s">
        <v>326</v>
      </c>
      <c r="D16" s="76"/>
      <c r="E16" s="77"/>
      <c r="F16" s="77"/>
      <c r="G16" s="77"/>
      <c r="H16" s="76"/>
      <c r="I16" s="76"/>
      <c r="J16" s="76"/>
      <c r="K16" s="76"/>
      <c r="L16" s="76"/>
      <c r="M16" s="76"/>
      <c r="N16" s="76"/>
      <c r="O16" s="76"/>
      <c r="P16" s="77"/>
      <c r="Q16" s="77"/>
      <c r="R16" s="77"/>
      <c r="S16" s="77"/>
      <c r="T16" s="77"/>
      <c r="U16" s="77"/>
      <c r="V16" s="77"/>
      <c r="W16" s="77"/>
      <c r="X16" s="77"/>
    </row>
    <row r="17" spans="1:26" ht="32.1" customHeight="1">
      <c r="A17" s="76" t="s">
        <v>327</v>
      </c>
      <c r="B17" s="76" t="s">
        <v>328</v>
      </c>
      <c r="C17" s="76" t="s">
        <v>329</v>
      </c>
      <c r="D17" s="76" t="s">
        <v>330</v>
      </c>
      <c r="E17" s="76" t="s">
        <v>331</v>
      </c>
      <c r="F17" s="77"/>
      <c r="G17" s="77"/>
      <c r="H17" s="76" t="s">
        <v>332</v>
      </c>
      <c r="I17" s="76" t="s">
        <v>333</v>
      </c>
      <c r="J17" s="76"/>
      <c r="K17" s="76"/>
      <c r="L17" s="76"/>
      <c r="M17" s="76" t="s">
        <v>296</v>
      </c>
      <c r="N17" s="76"/>
      <c r="O17" s="76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s="92" customFormat="1" ht="20.25" customHeight="1">
      <c r="A19" s="76" t="s">
        <v>334</v>
      </c>
      <c r="B19" s="76" t="s">
        <v>335</v>
      </c>
      <c r="C19" s="76" t="s">
        <v>336</v>
      </c>
      <c r="D19" s="76" t="s">
        <v>337</v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 spans="1:26" s="71" customFormat="1" ht="20.25" customHeight="1">
      <c r="A20" s="76" t="s">
        <v>99</v>
      </c>
      <c r="B20" s="76" t="s">
        <v>335</v>
      </c>
      <c r="C20" s="163" t="s">
        <v>338</v>
      </c>
      <c r="D20" s="71" t="s">
        <v>339</v>
      </c>
    </row>
    <row r="21" spans="1:26" s="71" customFormat="1" ht="20.25" customHeight="1">
      <c r="A21" s="76" t="s">
        <v>56</v>
      </c>
      <c r="B21" s="76" t="s">
        <v>335</v>
      </c>
      <c r="C21" s="76" t="s">
        <v>340</v>
      </c>
      <c r="D21" s="74" t="s">
        <v>341</v>
      </c>
      <c r="E21" s="76" t="s">
        <v>342</v>
      </c>
    </row>
    <row r="22" spans="1:26" ht="30" customHeight="1">
      <c r="A22" s="76" t="s">
        <v>343</v>
      </c>
      <c r="B22" s="76"/>
      <c r="C22" s="76" t="s">
        <v>344</v>
      </c>
      <c r="D22" s="44" t="s">
        <v>345</v>
      </c>
      <c r="E22" s="77" t="s">
        <v>346</v>
      </c>
      <c r="F22" s="77"/>
      <c r="G22" s="77"/>
      <c r="H22" s="76" t="s">
        <v>347</v>
      </c>
      <c r="I22" s="76"/>
      <c r="J22" s="76"/>
      <c r="K22" s="76"/>
      <c r="L22" s="76"/>
      <c r="M22" s="76" t="s">
        <v>348</v>
      </c>
      <c r="N22" s="76"/>
      <c r="O22" s="76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>
      <c r="A23" s="76" t="s">
        <v>349</v>
      </c>
      <c r="B23" s="76"/>
      <c r="C23" s="76" t="s">
        <v>350</v>
      </c>
      <c r="D23" s="44" t="s">
        <v>351</v>
      </c>
      <c r="E23" s="77" t="s">
        <v>352</v>
      </c>
      <c r="F23" s="77"/>
      <c r="G23" s="77"/>
      <c r="H23" s="76" t="s">
        <v>347</v>
      </c>
      <c r="I23" s="76"/>
      <c r="J23" s="76"/>
      <c r="K23" s="76"/>
      <c r="L23" s="76"/>
      <c r="M23" s="76" t="s">
        <v>348</v>
      </c>
      <c r="N23" s="76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s="76" customFormat="1" ht="20.25" customHeight="1">
      <c r="A24" s="76" t="s">
        <v>94</v>
      </c>
      <c r="C24" s="76" t="s">
        <v>353</v>
      </c>
      <c r="D24" s="76" t="s">
        <v>354</v>
      </c>
    </row>
    <row r="25" spans="1:26">
      <c r="A25" s="77" t="s">
        <v>355</v>
      </c>
      <c r="B25" s="77"/>
      <c r="C25" s="77" t="s">
        <v>356</v>
      </c>
      <c r="D25" s="55"/>
      <c r="E25" s="55"/>
      <c r="F25" s="55"/>
      <c r="G25" s="55"/>
      <c r="H25" s="55"/>
      <c r="I25" s="55"/>
      <c r="J25" s="55"/>
      <c r="K25" s="55"/>
      <c r="L25" s="76"/>
      <c r="M25" s="76"/>
      <c r="N25" s="76"/>
      <c r="O25" s="76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>
      <c r="A26" s="77" t="s">
        <v>357</v>
      </c>
      <c r="B26" s="77"/>
      <c r="C26" s="77" t="s">
        <v>358</v>
      </c>
      <c r="D26" s="55"/>
      <c r="E26" s="55"/>
      <c r="F26" s="55"/>
      <c r="G26" s="55"/>
      <c r="H26" s="55"/>
      <c r="I26" s="55"/>
      <c r="J26" s="55"/>
      <c r="K26" s="55"/>
      <c r="L26" s="76"/>
      <c r="M26" s="76"/>
      <c r="N26" s="76"/>
      <c r="O26" s="76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>
      <c r="A27" s="77" t="s">
        <v>359</v>
      </c>
      <c r="B27" s="77"/>
      <c r="C27" s="77" t="s">
        <v>360</v>
      </c>
      <c r="D27" s="55"/>
      <c r="E27" s="55"/>
      <c r="F27" s="55"/>
      <c r="G27" s="55"/>
      <c r="H27" s="55"/>
      <c r="I27" s="55"/>
      <c r="J27" s="55"/>
      <c r="K27" s="55"/>
      <c r="L27" s="76"/>
      <c r="M27" s="76"/>
      <c r="N27" s="76"/>
      <c r="O27" s="76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s="152" customFormat="1" ht="20.25" customHeight="1">
      <c r="A28" s="152" t="s">
        <v>361</v>
      </c>
    </row>
    <row r="29" spans="1:26">
      <c r="A29" s="77" t="s">
        <v>362</v>
      </c>
      <c r="B29" s="77"/>
      <c r="C29" s="77"/>
      <c r="D29" s="55"/>
      <c r="E29" s="55"/>
      <c r="F29" s="55"/>
      <c r="G29" s="55"/>
      <c r="H29" s="55"/>
      <c r="I29" s="55"/>
      <c r="J29" s="55"/>
      <c r="K29" s="55"/>
      <c r="L29" s="76"/>
      <c r="M29" s="76"/>
      <c r="N29" s="76"/>
      <c r="O29" s="76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>
      <c r="A30" s="77" t="s">
        <v>363</v>
      </c>
      <c r="B30" s="77"/>
      <c r="C30" s="77"/>
      <c r="D30" s="77" t="s">
        <v>364</v>
      </c>
      <c r="E30" s="77"/>
      <c r="F30" s="77"/>
      <c r="G30" s="77"/>
      <c r="H30" s="77" t="s">
        <v>72</v>
      </c>
      <c r="I30" s="77"/>
      <c r="J30" s="77"/>
      <c r="K30" s="77"/>
      <c r="L30" s="77" t="s">
        <v>365</v>
      </c>
      <c r="M30" s="77" t="s">
        <v>348</v>
      </c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>
      <c r="A31" s="77" t="s">
        <v>129</v>
      </c>
      <c r="B31" s="77"/>
      <c r="C31" s="77" t="s">
        <v>366</v>
      </c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>
      <c r="A32" s="77" t="s">
        <v>367</v>
      </c>
      <c r="B32" s="77"/>
      <c r="C32" s="77" t="s">
        <v>368</v>
      </c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>
      <c r="A33" s="5" t="s">
        <v>242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 ht="15.95" customHeight="1">
      <c r="A34" s="76" t="s">
        <v>258</v>
      </c>
      <c r="B34" s="76"/>
      <c r="C34" s="80" t="s">
        <v>369</v>
      </c>
      <c r="D34" s="76"/>
      <c r="E34" s="77"/>
      <c r="F34" s="77"/>
      <c r="G34" s="77"/>
      <c r="H34" s="76"/>
      <c r="I34" s="76"/>
      <c r="J34" s="76" t="s">
        <v>320</v>
      </c>
      <c r="K34" s="76"/>
      <c r="L34" s="76"/>
      <c r="M34" s="76" t="s">
        <v>296</v>
      </c>
      <c r="N34" s="76"/>
      <c r="O34" s="76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 ht="21" customHeight="1">
      <c r="A35" s="55" t="s">
        <v>370</v>
      </c>
      <c r="B35" s="55"/>
      <c r="C35" s="55" t="s">
        <v>371</v>
      </c>
      <c r="D35" s="55"/>
      <c r="E35" s="55"/>
      <c r="F35" s="77"/>
      <c r="G35" s="56" t="s">
        <v>372</v>
      </c>
      <c r="H35" s="55"/>
      <c r="I35" s="76"/>
      <c r="J35" s="55"/>
      <c r="K35" s="55"/>
      <c r="L35" s="76"/>
      <c r="M35" s="76"/>
      <c r="N35" s="76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>
      <c r="A36" s="77" t="s">
        <v>373</v>
      </c>
      <c r="B36" s="77"/>
      <c r="C36" s="77" t="s">
        <v>374</v>
      </c>
      <c r="D36" s="55"/>
      <c r="E36" s="55"/>
      <c r="F36" s="55"/>
      <c r="G36" s="55"/>
      <c r="H36" s="55"/>
      <c r="I36" s="55"/>
      <c r="J36" s="55"/>
      <c r="K36" s="55"/>
      <c r="L36" s="76"/>
      <c r="M36" s="76"/>
      <c r="N36" s="76"/>
      <c r="O36" s="76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 ht="45.75">
      <c r="A37" s="77" t="s">
        <v>211</v>
      </c>
      <c r="B37" s="77"/>
      <c r="C37" s="77"/>
      <c r="D37" s="77"/>
      <c r="E37" s="77"/>
      <c r="F37" s="77"/>
      <c r="G37" s="77"/>
      <c r="H37" s="77"/>
      <c r="I37" s="65" t="s">
        <v>375</v>
      </c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>
      <c r="A38" s="65" t="s">
        <v>207</v>
      </c>
      <c r="B38" s="77"/>
      <c r="C38" s="77"/>
      <c r="D38" s="77"/>
      <c r="E38" s="77"/>
      <c r="F38" s="77"/>
      <c r="G38" s="77"/>
      <c r="H38" s="77"/>
      <c r="I38" s="65" t="s">
        <v>207</v>
      </c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 s="53" customFormat="1">
      <c r="A43" s="79" t="s">
        <v>376</v>
      </c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spans="1:26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 ht="15.95" customHeight="1">
      <c r="A45" s="77" t="s">
        <v>377</v>
      </c>
      <c r="B45" s="77"/>
      <c r="C45" s="77" t="s">
        <v>378</v>
      </c>
      <c r="D45" s="55"/>
      <c r="E45" s="55"/>
      <c r="F45" s="55"/>
      <c r="G45" s="55"/>
      <c r="H45" s="55"/>
      <c r="I45" s="55"/>
      <c r="J45" s="55"/>
      <c r="K45" s="55"/>
      <c r="L45" s="76"/>
      <c r="M45" s="76"/>
      <c r="N45" s="76"/>
      <c r="O45" s="76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 ht="15.95" customHeight="1">
      <c r="A46" s="77" t="s">
        <v>379</v>
      </c>
      <c r="B46" s="77"/>
      <c r="C46" s="77" t="s">
        <v>378</v>
      </c>
      <c r="D46" s="55"/>
      <c r="E46" s="55"/>
      <c r="F46" s="55"/>
      <c r="G46" s="55"/>
      <c r="H46" s="55"/>
      <c r="I46" s="55"/>
      <c r="J46" s="55"/>
      <c r="K46" s="55"/>
      <c r="L46" s="76"/>
      <c r="M46" s="76"/>
      <c r="N46" s="76"/>
      <c r="O46" s="76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 ht="15.95" customHeight="1">
      <c r="A47" s="77" t="s">
        <v>380</v>
      </c>
      <c r="B47" s="77"/>
      <c r="C47" s="77" t="s">
        <v>378</v>
      </c>
      <c r="D47" s="76"/>
      <c r="E47" s="77"/>
      <c r="F47" s="77"/>
      <c r="G47" s="77"/>
      <c r="H47" s="76"/>
      <c r="I47" s="76"/>
      <c r="J47" s="76"/>
      <c r="K47" s="76"/>
      <c r="L47" s="76"/>
      <c r="M47" s="76"/>
      <c r="N47" s="76"/>
      <c r="O47" s="76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 ht="15.95" customHeight="1">
      <c r="A48" s="77" t="s">
        <v>56</v>
      </c>
      <c r="B48" s="77"/>
      <c r="C48" s="77" t="s">
        <v>381</v>
      </c>
      <c r="D48" s="77" t="s">
        <v>382</v>
      </c>
      <c r="E48" s="77"/>
      <c r="F48" s="77"/>
      <c r="G48" s="77"/>
      <c r="H48" s="77" t="s">
        <v>56</v>
      </c>
      <c r="I48" s="77" t="s">
        <v>383</v>
      </c>
      <c r="J48" s="77"/>
      <c r="K48" s="77"/>
      <c r="L48" s="77" t="s">
        <v>384</v>
      </c>
      <c r="M48" s="77" t="s">
        <v>348</v>
      </c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 ht="15.95" customHeight="1">
      <c r="A49" s="76"/>
      <c r="B49" s="76"/>
      <c r="C49" s="76"/>
      <c r="D49" s="76"/>
      <c r="E49" s="77"/>
      <c r="F49" s="77"/>
      <c r="G49" s="77"/>
      <c r="H49" s="76"/>
      <c r="I49" s="76"/>
      <c r="J49" s="76"/>
      <c r="K49" s="76"/>
      <c r="L49" s="76"/>
      <c r="M49" s="76"/>
      <c r="N49" s="76"/>
      <c r="O49" s="76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 ht="15.95" customHeight="1">
      <c r="A50" s="76"/>
      <c r="B50" s="76"/>
      <c r="C50" s="76"/>
      <c r="D50" s="76"/>
      <c r="E50" s="77"/>
      <c r="F50" s="77"/>
      <c r="G50" s="77"/>
      <c r="H50" s="76"/>
      <c r="I50" s="76"/>
      <c r="J50" s="76"/>
      <c r="K50" s="76"/>
      <c r="L50" s="76"/>
      <c r="M50" s="76"/>
      <c r="N50" s="76"/>
      <c r="O50" s="76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 s="53" customFormat="1">
      <c r="A51" s="79" t="s">
        <v>385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spans="1:26">
      <c r="A52" s="77"/>
      <c r="B52" s="77"/>
      <c r="C52" s="77" t="s">
        <v>386</v>
      </c>
      <c r="D52" s="77"/>
      <c r="E52" s="77"/>
      <c r="F52" s="77" t="s">
        <v>387</v>
      </c>
      <c r="G52" s="77" t="s">
        <v>388</v>
      </c>
      <c r="H52" s="51" t="s">
        <v>389</v>
      </c>
      <c r="I52" s="51"/>
      <c r="J52" s="51"/>
      <c r="K52" s="77"/>
      <c r="L52" s="77"/>
      <c r="M52" s="77"/>
      <c r="N52" s="77"/>
      <c r="O52" s="77" t="s">
        <v>390</v>
      </c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>
      <c r="A53" s="77"/>
      <c r="B53" s="77"/>
      <c r="C53" s="77"/>
      <c r="D53" s="77"/>
      <c r="E53" s="77"/>
      <c r="F53" s="77" t="s">
        <v>391</v>
      </c>
      <c r="G53" s="77" t="s">
        <v>392</v>
      </c>
      <c r="H53" s="51" t="s">
        <v>393</v>
      </c>
      <c r="I53" s="51"/>
      <c r="J53" s="51"/>
      <c r="K53" s="77"/>
      <c r="L53" s="77"/>
      <c r="M53" s="77"/>
      <c r="N53" s="77"/>
      <c r="O53" s="77" t="s">
        <v>390</v>
      </c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>
      <c r="A54" s="77"/>
      <c r="B54" s="77"/>
      <c r="C54" s="77"/>
      <c r="D54" s="77" t="s">
        <v>394</v>
      </c>
      <c r="E54" s="77" t="s">
        <v>395</v>
      </c>
      <c r="F54" s="51" t="s">
        <v>396</v>
      </c>
      <c r="G54" s="51"/>
      <c r="H54" s="51"/>
      <c r="I54" s="77"/>
      <c r="J54" s="77"/>
      <c r="K54" s="77"/>
      <c r="L54" s="77"/>
      <c r="M54" s="77" t="s">
        <v>390</v>
      </c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>
      <c r="A55" s="77"/>
      <c r="B55" s="77"/>
      <c r="C55" s="77"/>
      <c r="D55" s="77" t="s">
        <v>397</v>
      </c>
      <c r="E55" s="77" t="s">
        <v>398</v>
      </c>
      <c r="F55" s="51" t="s">
        <v>399</v>
      </c>
      <c r="G55" s="51"/>
      <c r="H55" s="51"/>
      <c r="I55" s="77"/>
      <c r="J55" s="77"/>
      <c r="K55" s="77"/>
      <c r="L55" s="77"/>
      <c r="M55" s="77" t="s">
        <v>390</v>
      </c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>
      <c r="A56" s="77"/>
      <c r="B56" s="77"/>
      <c r="C56" s="77"/>
      <c r="D56" s="77" t="s">
        <v>400</v>
      </c>
      <c r="E56" s="77" t="s">
        <v>398</v>
      </c>
      <c r="F56" s="51" t="s">
        <v>401</v>
      </c>
      <c r="G56" s="51"/>
      <c r="H56" s="51"/>
      <c r="I56" s="77"/>
      <c r="J56" s="77"/>
      <c r="K56" s="77"/>
      <c r="L56" s="77"/>
      <c r="M56" s="77" t="s">
        <v>390</v>
      </c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>
      <c r="A57" s="77"/>
      <c r="B57" s="77"/>
      <c r="C57" s="77"/>
      <c r="D57" s="77" t="s">
        <v>402</v>
      </c>
      <c r="E57" s="77" t="s">
        <v>403</v>
      </c>
      <c r="F57" s="51" t="s">
        <v>404</v>
      </c>
      <c r="G57" s="51"/>
      <c r="H57" s="51"/>
      <c r="I57" s="77" t="s">
        <v>405</v>
      </c>
      <c r="J57" s="77"/>
      <c r="K57" s="77"/>
      <c r="L57" s="77"/>
      <c r="M57" s="77" t="s">
        <v>390</v>
      </c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>
      <c r="A58" s="149" t="s">
        <v>406</v>
      </c>
      <c r="B58" s="77"/>
      <c r="C58" s="77"/>
      <c r="D58" s="77" t="s">
        <v>407</v>
      </c>
      <c r="E58" s="77" t="s">
        <v>398</v>
      </c>
      <c r="F58" s="77" t="s">
        <v>405</v>
      </c>
      <c r="G58" s="77"/>
      <c r="H58" s="77"/>
      <c r="I58" s="77" t="s">
        <v>408</v>
      </c>
      <c r="J58" s="77"/>
      <c r="K58" s="77"/>
      <c r="L58" s="77"/>
      <c r="M58" s="77" t="s">
        <v>390</v>
      </c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>
      <c r="A59" s="149"/>
      <c r="B59" s="77"/>
      <c r="C59" s="77"/>
      <c r="D59" s="77" t="s">
        <v>409</v>
      </c>
      <c r="E59" s="77" t="s">
        <v>398</v>
      </c>
      <c r="F59" s="51" t="s">
        <v>410</v>
      </c>
      <c r="G59" s="51"/>
      <c r="H59" s="51"/>
      <c r="I59" s="77" t="s">
        <v>405</v>
      </c>
      <c r="J59" s="77"/>
      <c r="K59" s="77"/>
      <c r="L59" s="77"/>
      <c r="M59" s="77" t="s">
        <v>390</v>
      </c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>
      <c r="A60" s="149" t="s">
        <v>411</v>
      </c>
      <c r="B60" s="77"/>
      <c r="C60" s="77"/>
      <c r="D60" s="77" t="s">
        <v>412</v>
      </c>
      <c r="E60" s="77" t="s">
        <v>398</v>
      </c>
      <c r="F60" s="51" t="s">
        <v>413</v>
      </c>
      <c r="G60" s="51"/>
      <c r="H60" s="51"/>
      <c r="I60" s="77" t="s">
        <v>414</v>
      </c>
      <c r="J60" s="77"/>
      <c r="K60" s="77"/>
      <c r="L60" s="77"/>
      <c r="M60" s="77" t="s">
        <v>390</v>
      </c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>
      <c r="A61" s="149"/>
      <c r="B61" s="77"/>
      <c r="C61" s="77"/>
      <c r="D61" s="77" t="s">
        <v>415</v>
      </c>
      <c r="E61" s="77" t="s">
        <v>416</v>
      </c>
      <c r="F61" s="51" t="s">
        <v>417</v>
      </c>
      <c r="G61" s="51"/>
      <c r="H61" s="51"/>
      <c r="I61" s="77" t="s">
        <v>414</v>
      </c>
      <c r="J61" s="77"/>
      <c r="K61" s="77"/>
      <c r="L61" s="77"/>
      <c r="M61" s="77" t="s">
        <v>390</v>
      </c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>
      <c r="A62" s="149"/>
      <c r="B62" s="77"/>
      <c r="C62" s="77"/>
      <c r="D62" s="77" t="s">
        <v>418</v>
      </c>
      <c r="E62" s="77" t="s">
        <v>416</v>
      </c>
      <c r="F62" s="51" t="s">
        <v>419</v>
      </c>
      <c r="G62" s="51"/>
      <c r="H62" s="51"/>
      <c r="I62" s="77" t="s">
        <v>414</v>
      </c>
      <c r="J62" s="77"/>
      <c r="K62" s="77"/>
      <c r="L62" s="77"/>
      <c r="M62" s="77" t="s">
        <v>390</v>
      </c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>
      <c r="A63" s="149" t="s">
        <v>420</v>
      </c>
      <c r="B63" s="77"/>
      <c r="C63" s="77"/>
      <c r="D63" s="77" t="s">
        <v>421</v>
      </c>
      <c r="E63" s="77" t="s">
        <v>422</v>
      </c>
      <c r="F63" s="51" t="s">
        <v>423</v>
      </c>
      <c r="G63" s="51"/>
      <c r="H63" s="51"/>
      <c r="I63" s="77" t="s">
        <v>424</v>
      </c>
      <c r="J63" s="77"/>
      <c r="K63" s="77"/>
      <c r="L63" s="77"/>
      <c r="M63" s="77" t="s">
        <v>390</v>
      </c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>
      <c r="A64" s="149"/>
      <c r="B64" s="77"/>
      <c r="C64" s="77"/>
      <c r="D64" s="77" t="s">
        <v>425</v>
      </c>
      <c r="E64" s="77" t="s">
        <v>426</v>
      </c>
      <c r="F64" s="51" t="s">
        <v>427</v>
      </c>
      <c r="G64" s="51"/>
      <c r="H64" s="51"/>
      <c r="I64" s="77" t="s">
        <v>405</v>
      </c>
      <c r="J64" s="77"/>
      <c r="K64" s="77"/>
      <c r="L64" s="77"/>
      <c r="M64" s="77" t="s">
        <v>390</v>
      </c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>
      <c r="A65" s="149"/>
      <c r="B65" s="77"/>
      <c r="C65" s="77"/>
      <c r="D65" s="77" t="s">
        <v>428</v>
      </c>
      <c r="E65" s="77" t="s">
        <v>429</v>
      </c>
      <c r="F65" s="51" t="s">
        <v>430</v>
      </c>
      <c r="G65" s="51"/>
      <c r="H65" s="51"/>
      <c r="I65" s="77" t="s">
        <v>405</v>
      </c>
      <c r="J65" s="77"/>
      <c r="K65" s="77"/>
      <c r="L65" s="77"/>
      <c r="M65" s="77" t="s">
        <v>390</v>
      </c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>
      <c r="A66" s="149"/>
      <c r="B66" s="77"/>
      <c r="C66" s="77"/>
      <c r="D66" s="77" t="s">
        <v>431</v>
      </c>
      <c r="E66" s="77" t="s">
        <v>432</v>
      </c>
      <c r="F66" s="51" t="s">
        <v>433</v>
      </c>
      <c r="G66" s="51"/>
      <c r="H66" s="51"/>
      <c r="I66" s="77" t="s">
        <v>405</v>
      </c>
      <c r="J66" s="77"/>
      <c r="K66" s="77"/>
      <c r="L66" s="77"/>
      <c r="M66" s="77" t="s">
        <v>390</v>
      </c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>
      <c r="A67" s="149" t="s">
        <v>434</v>
      </c>
      <c r="B67" s="77"/>
      <c r="C67" s="77"/>
      <c r="D67" s="77" t="s">
        <v>435</v>
      </c>
      <c r="E67" s="77" t="s">
        <v>436</v>
      </c>
      <c r="F67" s="51" t="s">
        <v>437</v>
      </c>
      <c r="G67" s="51"/>
      <c r="H67" s="51"/>
      <c r="I67" s="77" t="s">
        <v>405</v>
      </c>
      <c r="J67" s="77"/>
      <c r="K67" s="77"/>
      <c r="L67" s="77"/>
      <c r="M67" s="77" t="s">
        <v>390</v>
      </c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>
      <c r="A68" s="149"/>
      <c r="B68" s="77"/>
      <c r="C68" s="77"/>
      <c r="D68" s="77" t="s">
        <v>438</v>
      </c>
      <c r="E68" s="77" t="s">
        <v>439</v>
      </c>
      <c r="F68" s="51" t="s">
        <v>440</v>
      </c>
      <c r="G68" s="51"/>
      <c r="H68" s="51"/>
      <c r="I68" s="77" t="s">
        <v>405</v>
      </c>
      <c r="J68" s="77"/>
      <c r="K68" s="77"/>
      <c r="L68" s="77"/>
      <c r="M68" s="77" t="s">
        <v>390</v>
      </c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>
      <c r="A69" s="149"/>
      <c r="B69" s="77"/>
      <c r="C69" s="77"/>
      <c r="D69" s="77" t="s">
        <v>441</v>
      </c>
      <c r="E69" s="77" t="s">
        <v>442</v>
      </c>
      <c r="F69" s="77" t="s">
        <v>405</v>
      </c>
      <c r="G69" s="77"/>
      <c r="H69" s="77"/>
      <c r="I69" s="77" t="s">
        <v>443</v>
      </c>
      <c r="J69" s="77"/>
      <c r="K69" s="77"/>
      <c r="L69" s="77"/>
      <c r="M69" s="77" t="s">
        <v>390</v>
      </c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>
      <c r="A70" s="149"/>
      <c r="B70" s="77"/>
      <c r="C70" s="77"/>
      <c r="D70" s="77" t="s">
        <v>444</v>
      </c>
      <c r="E70" s="77" t="s">
        <v>445</v>
      </c>
      <c r="F70" s="77" t="s">
        <v>405</v>
      </c>
      <c r="G70" s="77"/>
      <c r="H70" s="77"/>
      <c r="I70" s="77" t="s">
        <v>443</v>
      </c>
      <c r="J70" s="77"/>
      <c r="K70" s="77"/>
      <c r="L70" s="77"/>
      <c r="M70" s="77" t="s">
        <v>390</v>
      </c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>
      <c r="A71" s="149"/>
      <c r="B71" s="77"/>
      <c r="C71" s="77"/>
      <c r="D71" s="77" t="s">
        <v>446</v>
      </c>
      <c r="E71" s="77" t="s">
        <v>447</v>
      </c>
      <c r="F71" s="77" t="s">
        <v>405</v>
      </c>
      <c r="G71" s="77"/>
      <c r="H71" s="77"/>
      <c r="I71" s="77" t="s">
        <v>448</v>
      </c>
      <c r="J71" s="77"/>
      <c r="K71" s="77"/>
      <c r="L71" s="77"/>
      <c r="M71" s="77" t="s">
        <v>390</v>
      </c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>
      <c r="A72" s="77" t="s">
        <v>449</v>
      </c>
      <c r="B72" s="77"/>
      <c r="C72" s="77"/>
      <c r="D72" s="77" t="s">
        <v>450</v>
      </c>
      <c r="E72" s="77" t="s">
        <v>451</v>
      </c>
      <c r="F72" s="58" t="s">
        <v>452</v>
      </c>
      <c r="G72" s="58"/>
      <c r="H72" s="58"/>
      <c r="I72" s="77" t="s">
        <v>414</v>
      </c>
      <c r="J72" s="77"/>
      <c r="K72" s="77"/>
      <c r="L72" s="77"/>
      <c r="M72" s="77" t="s">
        <v>390</v>
      </c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>
      <c r="A73" s="149" t="s">
        <v>453</v>
      </c>
      <c r="B73" s="77"/>
      <c r="C73" s="77"/>
      <c r="D73" s="77" t="s">
        <v>454</v>
      </c>
      <c r="E73" s="77" t="s">
        <v>455</v>
      </c>
      <c r="F73" s="51" t="s">
        <v>456</v>
      </c>
      <c r="G73" s="51"/>
      <c r="H73" s="51"/>
      <c r="I73" s="77" t="s">
        <v>405</v>
      </c>
      <c r="J73" s="77"/>
      <c r="K73" s="77"/>
      <c r="L73" s="77"/>
      <c r="M73" s="77" t="s">
        <v>390</v>
      </c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>
      <c r="A74" s="149"/>
      <c r="B74" s="77"/>
      <c r="C74" s="77"/>
      <c r="D74" s="77" t="s">
        <v>457</v>
      </c>
      <c r="E74" s="77" t="s">
        <v>458</v>
      </c>
      <c r="F74" s="77" t="s">
        <v>405</v>
      </c>
      <c r="G74" s="77"/>
      <c r="H74" s="77"/>
      <c r="I74" s="77" t="s">
        <v>443</v>
      </c>
      <c r="J74" s="77"/>
      <c r="K74" s="77"/>
      <c r="L74" s="77"/>
      <c r="M74" s="77" t="s">
        <v>390</v>
      </c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>
      <c r="A75" s="77" t="s">
        <v>459</v>
      </c>
      <c r="B75" s="77"/>
      <c r="C75" s="77"/>
      <c r="D75" s="77" t="s">
        <v>460</v>
      </c>
      <c r="E75" s="77" t="s">
        <v>461</v>
      </c>
      <c r="F75" s="77" t="s">
        <v>405</v>
      </c>
      <c r="G75" s="77"/>
      <c r="H75" s="77"/>
      <c r="I75" s="77" t="s">
        <v>414</v>
      </c>
      <c r="J75" s="77"/>
      <c r="K75" s="77"/>
      <c r="L75" s="77"/>
      <c r="M75" s="77" t="s">
        <v>390</v>
      </c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>
      <c r="A76" s="149" t="s">
        <v>462</v>
      </c>
      <c r="B76" s="77"/>
      <c r="C76" s="77"/>
      <c r="D76" s="77" t="s">
        <v>463</v>
      </c>
      <c r="E76" s="77" t="s">
        <v>464</v>
      </c>
      <c r="F76" s="77" t="s">
        <v>405</v>
      </c>
      <c r="G76" s="77"/>
      <c r="H76" s="77"/>
      <c r="I76" s="77" t="s">
        <v>465</v>
      </c>
      <c r="J76" s="77"/>
      <c r="K76" s="77"/>
      <c r="L76" s="77"/>
      <c r="M76" s="77" t="s">
        <v>390</v>
      </c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>
      <c r="A77" s="149"/>
      <c r="B77" s="77"/>
      <c r="C77" s="77"/>
      <c r="D77" s="77" t="s">
        <v>466</v>
      </c>
      <c r="E77" s="77" t="s">
        <v>467</v>
      </c>
      <c r="F77" s="77" t="s">
        <v>405</v>
      </c>
      <c r="G77" s="77"/>
      <c r="H77" s="77"/>
      <c r="I77" s="77" t="s">
        <v>443</v>
      </c>
      <c r="J77" s="77"/>
      <c r="K77" s="77"/>
      <c r="L77" s="77"/>
      <c r="M77" s="77" t="s">
        <v>390</v>
      </c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>
      <c r="A78" s="149" t="s">
        <v>468</v>
      </c>
      <c r="B78" s="77"/>
      <c r="C78" s="77"/>
      <c r="D78" s="77" t="s">
        <v>469</v>
      </c>
      <c r="E78" s="77" t="s">
        <v>470</v>
      </c>
      <c r="F78" s="51" t="s">
        <v>471</v>
      </c>
      <c r="G78" s="51"/>
      <c r="H78" s="51"/>
      <c r="I78" s="77" t="s">
        <v>414</v>
      </c>
      <c r="J78" s="77"/>
      <c r="K78" s="77"/>
      <c r="L78" s="77"/>
      <c r="M78" s="77" t="s">
        <v>390</v>
      </c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>
      <c r="A79" s="149"/>
      <c r="B79" s="77"/>
      <c r="C79" s="77"/>
      <c r="D79" s="77" t="s">
        <v>472</v>
      </c>
      <c r="E79" s="77" t="s">
        <v>447</v>
      </c>
      <c r="F79" s="77" t="s">
        <v>405</v>
      </c>
      <c r="G79" s="77"/>
      <c r="H79" s="77"/>
      <c r="I79" s="77" t="s">
        <v>473</v>
      </c>
      <c r="J79" s="77"/>
      <c r="K79" s="77"/>
      <c r="L79" s="77"/>
      <c r="M79" s="77" t="s">
        <v>390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>
      <c r="A80" s="77" t="s">
        <v>474</v>
      </c>
      <c r="B80" s="77"/>
      <c r="C80" s="77"/>
      <c r="D80" s="77" t="s">
        <v>475</v>
      </c>
      <c r="E80" s="77" t="s">
        <v>476</v>
      </c>
      <c r="F80" s="77" t="s">
        <v>405</v>
      </c>
      <c r="G80" s="77"/>
      <c r="H80" s="77"/>
      <c r="I80" s="77" t="s">
        <v>405</v>
      </c>
      <c r="J80" s="77"/>
      <c r="K80" s="77"/>
      <c r="L80" s="77"/>
      <c r="M80" s="77" t="s">
        <v>390</v>
      </c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>
      <c r="A81" s="77" t="s">
        <v>477</v>
      </c>
      <c r="B81" s="77"/>
      <c r="C81" s="77"/>
      <c r="D81" s="77" t="s">
        <v>478</v>
      </c>
      <c r="E81" s="77" t="s">
        <v>479</v>
      </c>
      <c r="F81" s="77" t="s">
        <v>405</v>
      </c>
      <c r="G81" s="77"/>
      <c r="H81" s="77"/>
      <c r="I81" s="77" t="s">
        <v>443</v>
      </c>
      <c r="J81" s="77"/>
      <c r="K81" s="77"/>
      <c r="L81" s="77"/>
      <c r="M81" s="77" t="s">
        <v>390</v>
      </c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>
      <c r="A82" s="77" t="s">
        <v>480</v>
      </c>
      <c r="B82" s="77"/>
      <c r="C82" s="77"/>
      <c r="D82" s="77" t="s">
        <v>481</v>
      </c>
      <c r="E82" s="77" t="s">
        <v>451</v>
      </c>
      <c r="F82" s="51" t="s">
        <v>482</v>
      </c>
      <c r="G82" s="51"/>
      <c r="H82" s="51"/>
      <c r="I82" s="77" t="s">
        <v>465</v>
      </c>
      <c r="J82" s="77"/>
      <c r="K82" s="77"/>
      <c r="L82" s="77"/>
      <c r="M82" s="77" t="s">
        <v>390</v>
      </c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>
      <c r="A83" s="77" t="s">
        <v>483</v>
      </c>
      <c r="B83" s="77"/>
      <c r="C83" s="77"/>
      <c r="D83" s="77" t="s">
        <v>484</v>
      </c>
      <c r="E83" s="77" t="s">
        <v>485</v>
      </c>
      <c r="F83" s="51" t="s">
        <v>486</v>
      </c>
      <c r="G83" s="51"/>
      <c r="H83" s="51"/>
      <c r="I83" s="77" t="s">
        <v>408</v>
      </c>
      <c r="J83" s="77"/>
      <c r="K83" s="77"/>
      <c r="L83" s="77"/>
      <c r="M83" s="77" t="s">
        <v>390</v>
      </c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>
      <c r="A84" s="77" t="s">
        <v>487</v>
      </c>
      <c r="B84" s="77"/>
      <c r="C84" s="77"/>
      <c r="D84" s="77" t="s">
        <v>488</v>
      </c>
      <c r="E84" s="77" t="s">
        <v>489</v>
      </c>
      <c r="F84" s="77" t="s">
        <v>405</v>
      </c>
      <c r="G84" s="77"/>
      <c r="H84" s="77"/>
      <c r="I84" s="77" t="s">
        <v>408</v>
      </c>
      <c r="J84" s="77"/>
      <c r="K84" s="77"/>
      <c r="L84" s="77"/>
      <c r="M84" s="77" t="s">
        <v>390</v>
      </c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>
      <c r="A85" s="77" t="s">
        <v>490</v>
      </c>
      <c r="B85" s="77"/>
      <c r="C85" s="77"/>
      <c r="D85" s="77" t="s">
        <v>491</v>
      </c>
      <c r="E85" s="77" t="s">
        <v>492</v>
      </c>
      <c r="F85" s="77" t="s">
        <v>405</v>
      </c>
      <c r="G85" s="77"/>
      <c r="H85" s="77"/>
      <c r="I85" s="77" t="s">
        <v>408</v>
      </c>
      <c r="J85" s="77"/>
      <c r="K85" s="77"/>
      <c r="L85" s="77"/>
      <c r="M85" s="77" t="s">
        <v>390</v>
      </c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>
      <c r="A86" s="77" t="s">
        <v>493</v>
      </c>
      <c r="B86" s="77"/>
      <c r="C86" s="77"/>
      <c r="D86" s="77" t="s">
        <v>494</v>
      </c>
      <c r="E86" s="77" t="s">
        <v>492</v>
      </c>
      <c r="F86" s="77" t="s">
        <v>405</v>
      </c>
      <c r="G86" s="77"/>
      <c r="H86" s="77"/>
      <c r="I86" s="77" t="s">
        <v>408</v>
      </c>
      <c r="J86" s="77"/>
      <c r="K86" s="77"/>
      <c r="L86" s="77"/>
      <c r="M86" s="77" t="s">
        <v>390</v>
      </c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>
      <c r="A87" s="77" t="s">
        <v>495</v>
      </c>
      <c r="B87" s="77"/>
      <c r="C87" s="77"/>
      <c r="D87" s="77" t="s">
        <v>496</v>
      </c>
      <c r="E87" s="77" t="s">
        <v>497</v>
      </c>
      <c r="F87" s="51" t="s">
        <v>498</v>
      </c>
      <c r="G87" s="51"/>
      <c r="H87" s="51"/>
      <c r="I87" s="77" t="s">
        <v>408</v>
      </c>
      <c r="J87" s="77"/>
      <c r="K87" s="77"/>
      <c r="L87" s="77"/>
      <c r="M87" s="77" t="s">
        <v>390</v>
      </c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>
      <c r="A88" s="77" t="s">
        <v>499</v>
      </c>
      <c r="B88" s="77"/>
      <c r="C88" s="77"/>
      <c r="D88" s="77" t="s">
        <v>500</v>
      </c>
      <c r="E88" s="77" t="s">
        <v>501</v>
      </c>
      <c r="F88" s="77" t="s">
        <v>405</v>
      </c>
      <c r="G88" s="77"/>
      <c r="H88" s="77"/>
      <c r="I88" s="77" t="s">
        <v>465</v>
      </c>
      <c r="J88" s="77"/>
      <c r="K88" s="77"/>
      <c r="L88" s="77"/>
      <c r="M88" s="77" t="s">
        <v>390</v>
      </c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>
      <c r="A89" s="77" t="s">
        <v>502</v>
      </c>
      <c r="B89" s="77"/>
      <c r="C89" s="77"/>
      <c r="D89" s="77" t="s">
        <v>503</v>
      </c>
      <c r="E89" s="77" t="s">
        <v>451</v>
      </c>
      <c r="F89" s="77" t="s">
        <v>405</v>
      </c>
      <c r="G89" s="77"/>
      <c r="H89" s="77"/>
      <c r="I89" s="77" t="s">
        <v>465</v>
      </c>
      <c r="J89" s="77"/>
      <c r="K89" s="77"/>
      <c r="L89" s="77"/>
      <c r="M89" s="77" t="s">
        <v>390</v>
      </c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>
      <c r="A90" s="77" t="s">
        <v>504</v>
      </c>
      <c r="B90" s="77"/>
      <c r="C90" s="77"/>
      <c r="D90" s="77" t="s">
        <v>505</v>
      </c>
      <c r="E90" s="77" t="s">
        <v>506</v>
      </c>
      <c r="F90" s="77" t="s">
        <v>405</v>
      </c>
      <c r="G90" s="77"/>
      <c r="H90" s="77"/>
      <c r="I90" s="77" t="s">
        <v>465</v>
      </c>
      <c r="J90" s="77"/>
      <c r="K90" s="77"/>
      <c r="L90" s="77"/>
      <c r="M90" s="77" t="s">
        <v>390</v>
      </c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>
      <c r="A91" s="77" t="s">
        <v>507</v>
      </c>
      <c r="B91" s="77"/>
      <c r="C91" s="77"/>
      <c r="D91" s="77" t="s">
        <v>508</v>
      </c>
      <c r="E91" s="77" t="s">
        <v>509</v>
      </c>
      <c r="F91" s="51" t="s">
        <v>510</v>
      </c>
      <c r="G91" s="51"/>
      <c r="H91" s="51"/>
      <c r="I91" s="77" t="s">
        <v>511</v>
      </c>
      <c r="J91" s="77"/>
      <c r="K91" s="77"/>
      <c r="L91" s="77"/>
      <c r="M91" s="77" t="s">
        <v>390</v>
      </c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>
      <c r="A92" s="77" t="s">
        <v>512</v>
      </c>
      <c r="B92" s="77"/>
      <c r="C92" s="77"/>
      <c r="D92" s="77" t="s">
        <v>513</v>
      </c>
      <c r="E92" s="77" t="s">
        <v>506</v>
      </c>
      <c r="F92" s="77" t="s">
        <v>405</v>
      </c>
      <c r="G92" s="77"/>
      <c r="H92" s="77"/>
      <c r="I92" s="77" t="s">
        <v>511</v>
      </c>
      <c r="J92" s="77"/>
      <c r="K92" s="77"/>
      <c r="L92" s="77"/>
      <c r="M92" s="77" t="s">
        <v>390</v>
      </c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>
      <c r="A93" s="77" t="s">
        <v>514</v>
      </c>
      <c r="B93" s="77"/>
      <c r="C93" s="77"/>
      <c r="D93" s="77" t="s">
        <v>515</v>
      </c>
      <c r="E93" s="77" t="s">
        <v>492</v>
      </c>
      <c r="F93" s="77" t="s">
        <v>405</v>
      </c>
      <c r="G93" s="77"/>
      <c r="H93" s="77"/>
      <c r="I93" s="77" t="s">
        <v>516</v>
      </c>
      <c r="J93" s="77"/>
      <c r="K93" s="77"/>
      <c r="L93" s="77"/>
      <c r="M93" s="77" t="s">
        <v>390</v>
      </c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>
      <c r="A94" s="77" t="s">
        <v>517</v>
      </c>
      <c r="B94" s="77"/>
      <c r="C94" s="77"/>
      <c r="D94" s="77" t="s">
        <v>518</v>
      </c>
      <c r="E94" s="77" t="s">
        <v>506</v>
      </c>
      <c r="F94" s="77" t="s">
        <v>405</v>
      </c>
      <c r="G94" s="77"/>
      <c r="H94" s="77"/>
      <c r="I94" s="77" t="s">
        <v>516</v>
      </c>
      <c r="J94" s="77"/>
      <c r="K94" s="77"/>
      <c r="L94" s="77"/>
      <c r="M94" s="77" t="s">
        <v>390</v>
      </c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spans="1:26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spans="1:26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spans="1:26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spans="1:26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spans="1:26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spans="1:2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spans="1:26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spans="1:26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spans="1:26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spans="1:26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spans="1:26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spans="1:26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spans="1:26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spans="1:26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spans="1:26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spans="1:26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spans="1:26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spans="1:26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spans="1:26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spans="1:26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spans="1:26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spans="1:26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spans="1:26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spans="1:26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spans="1:26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spans="1:26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spans="1:26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spans="1:26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spans="1:26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spans="1:26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spans="1:26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spans="1:26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spans="1:26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spans="1:26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spans="1:26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spans="1:26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spans="1:26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spans="1:26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spans="1:26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spans="1:26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spans="1:26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spans="1:26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spans="1:2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spans="1:26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spans="1:26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spans="1:26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spans="1:26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spans="1:26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</sheetData>
  <mergeCells count="9">
    <mergeCell ref="A78:A79"/>
    <mergeCell ref="A1:O1"/>
    <mergeCell ref="A58:A59"/>
    <mergeCell ref="A63:A66"/>
    <mergeCell ref="A76:A77"/>
    <mergeCell ref="A60:A62"/>
    <mergeCell ref="A67:A71"/>
    <mergeCell ref="A28:XFD28"/>
    <mergeCell ref="A73:A74"/>
  </mergeCells>
  <conditionalFormatting sqref="J10:K12 J14">
    <cfRule type="colorScale" priority="1">
      <colorScale>
        <cfvo type="num" val="0"/>
        <cfvo type="num" val="2.5"/>
        <cfvo type="num" val="5"/>
        <color rgb="FFFEE2E2"/>
        <color rgb="FFFEF9C3"/>
        <color rgb="FFDCFCE7"/>
      </colorScale>
    </cfRule>
  </conditionalFormatting>
  <hyperlinks>
    <hyperlink ref="F4" r:id="rId1" xr:uid="{00000000-0004-0000-0000-000000000000}"/>
    <hyperlink ref="F13" r:id="rId2" xr:uid="{00000000-0004-0000-0000-000001000000}"/>
    <hyperlink ref="F14" r:id="rId3" xr:uid="{00000000-0004-0000-0000-000002000000}"/>
    <hyperlink ref="H52" r:id="rId4" xr:uid="{00000000-0004-0000-0000-000003000000}"/>
    <hyperlink ref="H53" r:id="rId5" xr:uid="{00000000-0004-0000-0000-000004000000}"/>
    <hyperlink ref="F54" r:id="rId6" xr:uid="{00000000-0004-0000-0000-000005000000}"/>
    <hyperlink ref="F55" r:id="rId7" xr:uid="{00000000-0004-0000-0000-000006000000}"/>
    <hyperlink ref="F56" r:id="rId8" xr:uid="{00000000-0004-0000-0000-000007000000}"/>
    <hyperlink ref="F57" r:id="rId9" xr:uid="{00000000-0004-0000-0000-000008000000}"/>
    <hyperlink ref="F59" r:id="rId10" xr:uid="{00000000-0004-0000-0000-000009000000}"/>
    <hyperlink ref="F60" r:id="rId11" xr:uid="{00000000-0004-0000-0000-00000A000000}"/>
    <hyperlink ref="F61" r:id="rId12" xr:uid="{00000000-0004-0000-0000-00000B000000}"/>
    <hyperlink ref="F62" r:id="rId13" xr:uid="{00000000-0004-0000-0000-00000C000000}"/>
    <hyperlink ref="F63" r:id="rId14" xr:uid="{00000000-0004-0000-0000-00000D000000}"/>
    <hyperlink ref="F64" r:id="rId15" xr:uid="{00000000-0004-0000-0000-00000E000000}"/>
    <hyperlink ref="F65" r:id="rId16" xr:uid="{00000000-0004-0000-0000-00000F000000}"/>
    <hyperlink ref="F66" r:id="rId17" xr:uid="{00000000-0004-0000-0000-000010000000}"/>
    <hyperlink ref="F67" r:id="rId18" xr:uid="{00000000-0004-0000-0000-000011000000}"/>
    <hyperlink ref="F68" r:id="rId19" xr:uid="{00000000-0004-0000-0000-000012000000}"/>
    <hyperlink ref="F73" r:id="rId20" xr:uid="{00000000-0004-0000-0000-000013000000}"/>
    <hyperlink ref="F78" r:id="rId21" xr:uid="{00000000-0004-0000-0000-000014000000}"/>
    <hyperlink ref="F82" r:id="rId22" xr:uid="{00000000-0004-0000-0000-000015000000}"/>
    <hyperlink ref="F83" r:id="rId23" xr:uid="{00000000-0004-0000-0000-000016000000}"/>
    <hyperlink ref="F87" r:id="rId24" xr:uid="{00000000-0004-0000-0000-000017000000}"/>
    <hyperlink ref="F91" r:id="rId25" xr:uid="{00000000-0004-0000-0000-00001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13" sqref="A13"/>
    </sheetView>
  </sheetViews>
  <sheetFormatPr defaultColWidth="8.85546875" defaultRowHeight="15"/>
  <cols>
    <col min="1" max="1" width="15.42578125" bestFit="1" customWidth="1"/>
    <col min="2" max="2" width="63.42578125" bestFit="1" customWidth="1"/>
    <col min="3" max="3" width="54.7109375" bestFit="1" customWidth="1"/>
  </cols>
  <sheetData>
    <row r="1" spans="1:3">
      <c r="A1" s="70" t="s">
        <v>519</v>
      </c>
      <c r="B1" s="70" t="s">
        <v>520</v>
      </c>
      <c r="C1" s="70" t="s">
        <v>521</v>
      </c>
    </row>
    <row r="2" spans="1:3">
      <c r="A2" s="69" t="s">
        <v>522</v>
      </c>
      <c r="B2" t="s">
        <v>523</v>
      </c>
      <c r="C2" t="s">
        <v>524</v>
      </c>
    </row>
    <row r="3" spans="1:3">
      <c r="A3" s="69" t="s">
        <v>525</v>
      </c>
      <c r="B3" t="s">
        <v>526</v>
      </c>
      <c r="C3" t="s">
        <v>527</v>
      </c>
    </row>
    <row r="4" spans="1:3">
      <c r="A4" s="69" t="s">
        <v>528</v>
      </c>
      <c r="B4" t="s">
        <v>529</v>
      </c>
      <c r="C4" t="s">
        <v>530</v>
      </c>
    </row>
    <row r="5" spans="1:3">
      <c r="A5" s="69" t="s">
        <v>531</v>
      </c>
      <c r="B5" t="s">
        <v>532</v>
      </c>
      <c r="C5" t="s">
        <v>533</v>
      </c>
    </row>
    <row r="6" spans="1:3">
      <c r="A6" s="69" t="s">
        <v>534</v>
      </c>
      <c r="B6" t="s">
        <v>535</v>
      </c>
    </row>
    <row r="8" spans="1:3">
      <c r="A8" t="s">
        <v>536</v>
      </c>
    </row>
    <row r="9" spans="1:3" ht="24">
      <c r="A9" s="116" t="s">
        <v>11</v>
      </c>
      <c r="B9" s="117" t="s">
        <v>537</v>
      </c>
      <c r="C9" s="117" t="s">
        <v>538</v>
      </c>
    </row>
    <row r="10" spans="1:3" ht="24">
      <c r="A10" s="116" t="s">
        <v>22</v>
      </c>
      <c r="B10" s="117" t="s">
        <v>539</v>
      </c>
      <c r="C10" s="117" t="s">
        <v>540</v>
      </c>
    </row>
    <row r="11" spans="1:3" ht="24">
      <c r="A11" s="116" t="s">
        <v>24</v>
      </c>
      <c r="B11" s="117" t="s">
        <v>541</v>
      </c>
      <c r="C11" s="117" t="s">
        <v>542</v>
      </c>
    </row>
    <row r="12" spans="1:3" ht="24">
      <c r="A12" s="116" t="s">
        <v>543</v>
      </c>
      <c r="B12" s="117" t="s">
        <v>544</v>
      </c>
      <c r="C12" s="117" t="s">
        <v>545</v>
      </c>
    </row>
    <row r="13" spans="1:3" ht="24">
      <c r="A13" s="116" t="s">
        <v>546</v>
      </c>
      <c r="B13" s="117" t="s">
        <v>547</v>
      </c>
      <c r="C13" s="117" t="s">
        <v>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6"/>
  <sheetViews>
    <sheetView showGridLines="0" topLeftCell="G1" zoomScale="110" zoomScaleNormal="110" workbookViewId="0">
      <pane ySplit="4" topLeftCell="A5" activePane="bottomLeft" state="frozen"/>
      <selection pane="bottomLeft" activeCell="I23" sqref="I23"/>
    </sheetView>
  </sheetViews>
  <sheetFormatPr defaultColWidth="8.85546875" defaultRowHeight="15"/>
  <cols>
    <col min="1" max="1" width="35.42578125" customWidth="1"/>
    <col min="2" max="2" width="13.85546875" bestFit="1" customWidth="1"/>
    <col min="3" max="3" width="14" customWidth="1"/>
    <col min="4" max="5" width="24.28515625" bestFit="1" customWidth="1"/>
    <col min="6" max="6" width="22" customWidth="1"/>
    <col min="7" max="7" width="22.28515625" bestFit="1" customWidth="1"/>
    <col min="8" max="8" width="24.28515625" bestFit="1" customWidth="1"/>
    <col min="9" max="10" width="20.28515625" bestFit="1" customWidth="1"/>
    <col min="11" max="12" width="22.28515625" bestFit="1" customWidth="1"/>
    <col min="13" max="13" width="20.28515625" bestFit="1" customWidth="1"/>
    <col min="14" max="14" width="6.85546875" bestFit="1" customWidth="1"/>
    <col min="15" max="15" width="9.42578125" bestFit="1" customWidth="1"/>
    <col min="16" max="16" width="99.42578125" customWidth="1"/>
  </cols>
  <sheetData>
    <row r="1" spans="1:16" s="3" customFormat="1" ht="18.95" customHeight="1">
      <c r="A1" s="164" t="s">
        <v>549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6">
      <c r="A2" s="153" t="s">
        <v>550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4" spans="1:16" ht="32.1" customHeight="1">
      <c r="A4" s="4" t="s">
        <v>2</v>
      </c>
      <c r="B4" s="4" t="s">
        <v>3</v>
      </c>
      <c r="C4" s="4" t="s">
        <v>282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J4" s="4" t="s">
        <v>557</v>
      </c>
      <c r="K4" s="4" t="s">
        <v>558</v>
      </c>
      <c r="L4" s="4" t="s">
        <v>559</v>
      </c>
      <c r="M4" s="4" t="s">
        <v>560</v>
      </c>
      <c r="N4" s="4" t="s">
        <v>7</v>
      </c>
      <c r="O4" s="4" t="s">
        <v>506</v>
      </c>
      <c r="P4" s="4" t="s">
        <v>10</v>
      </c>
    </row>
    <row r="5" spans="1:16" s="2" customFormat="1" ht="15.95" customHeight="1">
      <c r="A5" s="2" t="s">
        <v>561</v>
      </c>
    </row>
    <row r="6" spans="1:16" ht="32.1" customHeight="1">
      <c r="A6" s="5" t="s">
        <v>562</v>
      </c>
      <c r="B6" s="5" t="s">
        <v>72</v>
      </c>
      <c r="C6" s="5" t="str">
        <f>IFERROR(VLOOKUP(B6,Lists!$A$2:$B$200,2,FALSE()),"Europe")</f>
        <v>Europe</v>
      </c>
      <c r="D6" s="6" t="s">
        <v>563</v>
      </c>
      <c r="E6" s="6" t="s">
        <v>564</v>
      </c>
      <c r="F6" s="6" t="s">
        <v>565</v>
      </c>
      <c r="G6" s="40">
        <v>1</v>
      </c>
      <c r="H6" s="6">
        <v>3</v>
      </c>
      <c r="I6" s="6">
        <v>4</v>
      </c>
      <c r="J6" s="6">
        <v>2</v>
      </c>
      <c r="K6" s="6">
        <v>4</v>
      </c>
      <c r="L6" s="6">
        <v>-1</v>
      </c>
      <c r="M6" s="5">
        <f>IFERROR((G6*Assumptions!$B$5 + H6*Assumptions!$B$6 + I6*Assumptions!$B$7 + J6*Assumptions!$B$8 + K6*Assumptions!$B$9 + L6*Assumptions!$B$10),"" )</f>
        <v>2.2500000000000004</v>
      </c>
      <c r="N6" s="5" t="str">
        <f>IF(M6="","",IF(M6&gt;=Assumptions!$B$14,"Tier 1",IF(M6&gt;=Assumptions!$B$15,"Tier 2",IF(M6&gt;=Assumptions!$B$16,"Tier 3","Tier 4"))))</f>
        <v>Tier 4</v>
      </c>
      <c r="O6" s="6"/>
      <c r="P6" s="6" t="s">
        <v>566</v>
      </c>
    </row>
    <row r="7" spans="1:16" ht="48" customHeight="1">
      <c r="A7" s="5" t="s">
        <v>567</v>
      </c>
      <c r="B7" s="5" t="s">
        <v>65</v>
      </c>
      <c r="C7" s="5" t="str">
        <f>IFERROR(VLOOKUP(B7,Lists!$A$2:$B$200,2,FALSE()),"Europe")</f>
        <v>Europe</v>
      </c>
      <c r="D7" s="6" t="s">
        <v>568</v>
      </c>
      <c r="E7" s="6" t="s">
        <v>569</v>
      </c>
      <c r="F7" s="6" t="s">
        <v>570</v>
      </c>
      <c r="G7" s="40">
        <v>2</v>
      </c>
      <c r="H7" s="6">
        <v>4</v>
      </c>
      <c r="I7" s="6">
        <v>4</v>
      </c>
      <c r="J7" s="6">
        <v>5</v>
      </c>
      <c r="K7" s="6">
        <v>5</v>
      </c>
      <c r="L7" s="6">
        <v>-2</v>
      </c>
      <c r="M7" s="5">
        <f>IFERROR((G7*Assumptions!$B$5 + H7*Assumptions!$B$6 + I7*Assumptions!$B$7 + J7*Assumptions!$B$8 + K7*Assumptions!$B$9 + L7*Assumptions!$B$10),"" )</f>
        <v>3.85</v>
      </c>
      <c r="N7" s="5" t="str">
        <f>IF(M7="","",IF(M7&gt;=Assumptions!$B$14,"Tier 1",IF(M7&gt;=Assumptions!$B$15,"Tier 2",IF(M7&gt;=Assumptions!$B$16,"Tier 3","Tier 4"))))</f>
        <v>Tier 2</v>
      </c>
      <c r="O7" s="6"/>
      <c r="P7" s="6" t="s">
        <v>571</v>
      </c>
    </row>
    <row r="8" spans="1:16" ht="48" customHeight="1">
      <c r="A8" s="5" t="s">
        <v>572</v>
      </c>
      <c r="B8" s="5" t="s">
        <v>226</v>
      </c>
      <c r="C8" s="5" t="str">
        <f>IFERROR(VLOOKUP(B8,Lists!$A$2:$B$200,2,FALSE()),"Latin America")</f>
        <v>Latin America</v>
      </c>
      <c r="D8" s="6" t="s">
        <v>573</v>
      </c>
      <c r="E8" s="6" t="s">
        <v>574</v>
      </c>
      <c r="F8" s="6" t="s">
        <v>575</v>
      </c>
      <c r="G8" s="6">
        <v>4</v>
      </c>
      <c r="H8" s="6">
        <v>2</v>
      </c>
      <c r="I8" s="6">
        <v>3</v>
      </c>
      <c r="J8" s="6">
        <v>5</v>
      </c>
      <c r="K8" s="6">
        <v>4</v>
      </c>
      <c r="L8" s="6">
        <v>-1</v>
      </c>
      <c r="M8" s="5">
        <f>IFERROR((G8*Assumptions!$B$5 + H8*Assumptions!$B$6 + I8*Assumptions!$B$7 + J8*Assumptions!$B$8 + K8*Assumptions!$B$9 + L8*Assumptions!$B$10),"" )</f>
        <v>3.9</v>
      </c>
      <c r="N8" s="5" t="str">
        <f>IF(M8="","",IF(M8&gt;=Assumptions!$B$14,"Tier 1",IF(M8&gt;=Assumptions!$B$15,"Tier 2",IF(M8&gt;=Assumptions!$B$16,"Tier 3","Tier 4"))))</f>
        <v>Tier 2</v>
      </c>
      <c r="O8" s="6"/>
      <c r="P8" s="6" t="s">
        <v>576</v>
      </c>
    </row>
    <row r="9" spans="1:16" ht="32.1" customHeight="1">
      <c r="A9" s="5" t="s">
        <v>577</v>
      </c>
      <c r="B9" s="5" t="s">
        <v>39</v>
      </c>
      <c r="C9" s="5" t="str">
        <f>IFERROR(VLOOKUP(B9,Lists!$A$2:$B$200,2,FALSE()),"North America")</f>
        <v>North America</v>
      </c>
      <c r="D9" s="6" t="s">
        <v>578</v>
      </c>
      <c r="E9" s="6" t="s">
        <v>579</v>
      </c>
      <c r="F9" s="6" t="s">
        <v>580</v>
      </c>
      <c r="G9" s="40">
        <v>2</v>
      </c>
      <c r="H9" s="6">
        <v>1</v>
      </c>
      <c r="I9" s="6">
        <v>3</v>
      </c>
      <c r="J9" s="6">
        <v>5</v>
      </c>
      <c r="K9" s="6">
        <v>4</v>
      </c>
      <c r="L9" s="6">
        <v>-1</v>
      </c>
      <c r="M9" s="5">
        <f>IFERROR((G9*Assumptions!$B$5 + H9*Assumptions!$B$6 + I9*Assumptions!$B$7 + J9*Assumptions!$B$8 + K9*Assumptions!$B$9 + L9*Assumptions!$B$10),"" )</f>
        <v>3.0000000000000004</v>
      </c>
      <c r="N9" s="5" t="str">
        <f>IF(M9="","",IF(M9&gt;=Assumptions!$B$14,"Tier 1",IF(M9&gt;=Assumptions!$B$15,"Tier 2",IF(M9&gt;=Assumptions!$B$16,"Tier 3","Tier 4"))))</f>
        <v>Tier 3</v>
      </c>
      <c r="O9" s="6"/>
      <c r="P9" s="6" t="s">
        <v>581</v>
      </c>
    </row>
    <row r="10" spans="1:16" ht="32.1" customHeight="1">
      <c r="A10" s="5" t="s">
        <v>582</v>
      </c>
      <c r="B10" s="5" t="s">
        <v>39</v>
      </c>
      <c r="C10" s="5" t="str">
        <f>IFERROR(VLOOKUP(B10,Lists!$A$2:$B$200,2,FALSE()),"North America")</f>
        <v>North America</v>
      </c>
      <c r="D10" s="6" t="s">
        <v>583</v>
      </c>
      <c r="E10" s="6" t="s">
        <v>584</v>
      </c>
      <c r="F10" s="6" t="s">
        <v>585</v>
      </c>
      <c r="G10" s="40">
        <v>0</v>
      </c>
      <c r="H10" s="6">
        <v>3</v>
      </c>
      <c r="I10" s="6">
        <v>4</v>
      </c>
      <c r="J10" s="6">
        <v>1</v>
      </c>
      <c r="K10" s="6">
        <v>3</v>
      </c>
      <c r="L10" s="6">
        <v>0</v>
      </c>
      <c r="M10" s="5">
        <f>IFERROR((G10*Assumptions!$B$5 + H10*Assumptions!$B$6 + I10*Assumptions!$B$7 + J10*Assumptions!$B$8 + K10*Assumptions!$B$9 + L10*Assumptions!$B$10),"" )</f>
        <v>1.4500000000000002</v>
      </c>
      <c r="N10" s="5" t="str">
        <f>IF(M10="","",IF(M10&gt;=Assumptions!$B$14,"Tier 1",IF(M10&gt;=Assumptions!$B$15,"Tier 2",IF(M10&gt;=Assumptions!$B$16,"Tier 3","Tier 4"))))</f>
        <v>Tier 4</v>
      </c>
      <c r="O10" s="6"/>
      <c r="P10" s="6" t="s">
        <v>586</v>
      </c>
    </row>
    <row r="11" spans="1:16" ht="32.1" customHeight="1">
      <c r="A11" s="5" t="s">
        <v>587</v>
      </c>
      <c r="B11" s="5" t="s">
        <v>39</v>
      </c>
      <c r="C11" s="5" t="str">
        <f>IFERROR(VLOOKUP(B11,Lists!$A$2:$B$200,2,FALSE()),"North America")</f>
        <v>North America</v>
      </c>
      <c r="D11" s="6" t="s">
        <v>583</v>
      </c>
      <c r="E11" s="6" t="s">
        <v>588</v>
      </c>
      <c r="F11" s="6" t="s">
        <v>585</v>
      </c>
      <c r="G11" s="40">
        <v>0</v>
      </c>
      <c r="H11" s="6">
        <v>3</v>
      </c>
      <c r="I11" s="6">
        <v>4</v>
      </c>
      <c r="J11" s="6">
        <v>1</v>
      </c>
      <c r="K11" s="6">
        <v>2</v>
      </c>
      <c r="L11" s="6">
        <v>0</v>
      </c>
      <c r="M11" s="5">
        <f>IFERROR((G11*Assumptions!$B$5 + H11*Assumptions!$B$6 + I11*Assumptions!$B$7 + J11*Assumptions!$B$8 + K11*Assumptions!$B$9 + L11*Assumptions!$B$10),"" )</f>
        <v>1.4000000000000001</v>
      </c>
      <c r="N11" s="5" t="str">
        <f>IF(M11="","",IF(M11&gt;=Assumptions!$B$14,"Tier 1",IF(M11&gt;=Assumptions!$B$15,"Tier 2",IF(M11&gt;=Assumptions!$B$16,"Tier 3","Tier 4"))))</f>
        <v>Tier 4</v>
      </c>
      <c r="O11" s="6"/>
      <c r="P11" s="6" t="s">
        <v>589</v>
      </c>
    </row>
    <row r="12" spans="1:16" ht="32.1" customHeight="1">
      <c r="A12" s="5" t="s">
        <v>590</v>
      </c>
      <c r="B12" s="5" t="s">
        <v>39</v>
      </c>
      <c r="C12" s="5" t="str">
        <f>IFERROR(VLOOKUP(B12,Lists!$A$2:$B$200,2,FALSE()),"North America")</f>
        <v>North America</v>
      </c>
      <c r="D12" s="6" t="s">
        <v>578</v>
      </c>
      <c r="E12" s="6" t="s">
        <v>591</v>
      </c>
      <c r="F12" s="6" t="s">
        <v>592</v>
      </c>
      <c r="G12" s="40">
        <v>2</v>
      </c>
      <c r="H12" s="6">
        <v>1</v>
      </c>
      <c r="I12" s="6">
        <v>3</v>
      </c>
      <c r="J12" s="6">
        <v>5</v>
      </c>
      <c r="K12" s="6">
        <v>4</v>
      </c>
      <c r="L12" s="6">
        <v>-1</v>
      </c>
      <c r="M12" s="5">
        <f>IFERROR((G12*Assumptions!$B$5 + H12*Assumptions!$B$6 + I12*Assumptions!$B$7 + J12*Assumptions!$B$8 + K12*Assumptions!$B$9 + L12*Assumptions!$B$10),"" )</f>
        <v>3.0000000000000004</v>
      </c>
      <c r="N12" s="5" t="str">
        <f>IF(M12="","",IF(M12&gt;=Assumptions!$B$14,"Tier 1",IF(M12&gt;=Assumptions!$B$15,"Tier 2",IF(M12&gt;=Assumptions!$B$16,"Tier 3","Tier 4"))))</f>
        <v>Tier 3</v>
      </c>
      <c r="O12" s="6"/>
      <c r="P12" s="6" t="s">
        <v>593</v>
      </c>
    </row>
    <row r="13" spans="1:16" ht="48" customHeight="1">
      <c r="A13" s="5" t="s">
        <v>594</v>
      </c>
      <c r="B13" s="5" t="s">
        <v>60</v>
      </c>
      <c r="C13" s="5" t="str">
        <f>IFERROR(VLOOKUP(B13,Lists!$A$2:$B$200,2,FALSE()),"Europe")</f>
        <v>Europe</v>
      </c>
      <c r="D13" s="6" t="s">
        <v>595</v>
      </c>
      <c r="E13" s="6" t="s">
        <v>596</v>
      </c>
      <c r="F13" s="6" t="s">
        <v>597</v>
      </c>
      <c r="G13" s="40">
        <v>2</v>
      </c>
      <c r="H13" s="6">
        <v>3</v>
      </c>
      <c r="I13" s="6">
        <v>4</v>
      </c>
      <c r="J13" s="6">
        <v>4</v>
      </c>
      <c r="K13" s="6">
        <v>5</v>
      </c>
      <c r="L13" s="6">
        <v>-2</v>
      </c>
      <c r="M13" s="5">
        <f>IFERROR((G13*Assumptions!$B$5 + H13*Assumptions!$B$6 + I13*Assumptions!$B$7 + J13*Assumptions!$B$8 + K13*Assumptions!$B$9 + L13*Assumptions!$B$10),"" )</f>
        <v>3.3500000000000005</v>
      </c>
      <c r="N13" s="5" t="str">
        <f>IF(M13="","",IF(M13&gt;=Assumptions!$B$14,"Tier 1",IF(M13&gt;=Assumptions!$B$15,"Tier 2",IF(M13&gt;=Assumptions!$B$16,"Tier 3","Tier 4"))))</f>
        <v>Tier 2</v>
      </c>
      <c r="O13" s="6"/>
      <c r="P13" s="6" t="s">
        <v>598</v>
      </c>
    </row>
    <row r="14" spans="1:16" ht="32.1" customHeight="1">
      <c r="A14" s="5" t="s">
        <v>599</v>
      </c>
      <c r="B14" s="5" t="s">
        <v>39</v>
      </c>
      <c r="C14" s="5" t="str">
        <f>IFERROR(VLOOKUP(B14,Lists!$A$2:$B$200,2,FALSE()),"North America")</f>
        <v>North America</v>
      </c>
      <c r="D14" s="6" t="s">
        <v>573</v>
      </c>
      <c r="E14" s="6" t="s">
        <v>600</v>
      </c>
      <c r="F14" s="6" t="s">
        <v>601</v>
      </c>
      <c r="G14" s="6">
        <v>4</v>
      </c>
      <c r="H14" s="6">
        <v>2</v>
      </c>
      <c r="I14" s="6">
        <v>4</v>
      </c>
      <c r="J14" s="6">
        <v>5</v>
      </c>
      <c r="K14" s="6">
        <v>4</v>
      </c>
      <c r="L14" s="6">
        <v>-1</v>
      </c>
      <c r="M14" s="5">
        <f>IFERROR((G14*Assumptions!$B$5 + H14*Assumptions!$B$6 + I14*Assumptions!$B$7 + J14*Assumptions!$B$8 + K14*Assumptions!$B$9 + L14*Assumptions!$B$10),"" )</f>
        <v>4</v>
      </c>
      <c r="N14" s="5" t="str">
        <f>IF(M14="","",IF(M14&gt;=Assumptions!$B$14,"Tier 1",IF(M14&gt;=Assumptions!$B$15,"Tier 2",IF(M14&gt;=Assumptions!$B$16,"Tier 3","Tier 4"))))</f>
        <v>Tier 1</v>
      </c>
      <c r="O14" s="6"/>
      <c r="P14" s="6" t="s">
        <v>602</v>
      </c>
    </row>
    <row r="15" spans="1:16" ht="32.1" customHeight="1">
      <c r="A15" s="5" t="s">
        <v>603</v>
      </c>
      <c r="B15" s="5" t="s">
        <v>116</v>
      </c>
      <c r="C15" s="5" t="str">
        <f>IFERROR(VLOOKUP(B15,Lists!$A$2:$B$200,2,FALSE()),"North America")</f>
        <v>North America</v>
      </c>
      <c r="D15" s="6" t="s">
        <v>604</v>
      </c>
      <c r="E15" s="6" t="s">
        <v>605</v>
      </c>
      <c r="F15" s="6" t="s">
        <v>606</v>
      </c>
      <c r="G15" s="40">
        <v>1</v>
      </c>
      <c r="H15" s="6">
        <v>2</v>
      </c>
      <c r="I15" s="6">
        <v>4</v>
      </c>
      <c r="J15" s="6">
        <v>3</v>
      </c>
      <c r="K15" s="6">
        <v>3</v>
      </c>
      <c r="L15" s="6">
        <v>-1</v>
      </c>
      <c r="M15" s="5">
        <f>IFERROR((G15*Assumptions!$B$5 + H15*Assumptions!$B$6 + I15*Assumptions!$B$7 + J15*Assumptions!$B$8 + K15*Assumptions!$B$9 + L15*Assumptions!$B$10),"" )</f>
        <v>2.2999999999999998</v>
      </c>
      <c r="N15" s="5" t="str">
        <f>IF(M15="","",IF(M15&gt;=Assumptions!$B$14,"Tier 1",IF(M15&gt;=Assumptions!$B$15,"Tier 2",IF(M15&gt;=Assumptions!$B$16,"Tier 3","Tier 4"))))</f>
        <v>Tier 4</v>
      </c>
      <c r="O15" s="6"/>
      <c r="P15" s="6" t="s">
        <v>607</v>
      </c>
    </row>
    <row r="16" spans="1:16" ht="48" customHeight="1">
      <c r="A16" s="5" t="s">
        <v>608</v>
      </c>
      <c r="B16" s="5" t="s">
        <v>255</v>
      </c>
      <c r="C16" s="5" t="str">
        <f>IFERROR(VLOOKUP(B16,Lists!$A$2:$B$200,2,FALSE()),"Asia")</f>
        <v>Asia</v>
      </c>
      <c r="D16" s="6" t="s">
        <v>222</v>
      </c>
      <c r="E16" s="6" t="s">
        <v>609</v>
      </c>
      <c r="F16" s="6" t="s">
        <v>610</v>
      </c>
      <c r="G16" s="6">
        <v>5</v>
      </c>
      <c r="H16" s="6">
        <v>2</v>
      </c>
      <c r="I16" s="6">
        <v>2</v>
      </c>
      <c r="J16" s="6">
        <v>5</v>
      </c>
      <c r="K16" s="6">
        <v>4</v>
      </c>
      <c r="L16" s="6">
        <v>-1</v>
      </c>
      <c r="M16" s="5">
        <f>IFERROR((G16*Assumptions!$B$5 + H16*Assumptions!$B$6 + I16*Assumptions!$B$7 + J16*Assumptions!$B$8 + K16*Assumptions!$B$9 + L16*Assumptions!$B$10),"" )</f>
        <v>4.1499999999999995</v>
      </c>
      <c r="N16" s="5" t="str">
        <f>IF(M16="","",IF(M16&gt;=Assumptions!$B$14,"Tier 1",IF(M16&gt;=Assumptions!$B$15,"Tier 2",IF(M16&gt;=Assumptions!$B$16,"Tier 3","Tier 4"))))</f>
        <v>Tier 1</v>
      </c>
      <c r="O16" s="6"/>
      <c r="P16" s="6" t="s">
        <v>611</v>
      </c>
    </row>
    <row r="17" spans="1:16" ht="32.1" customHeight="1">
      <c r="A17" s="5" t="s">
        <v>612</v>
      </c>
      <c r="B17" s="5" t="s">
        <v>60</v>
      </c>
      <c r="C17" s="5" t="str">
        <f>IFERROR(VLOOKUP(B17,Lists!$A$2:$B$200,2,FALSE()),"Europe")</f>
        <v>Europe</v>
      </c>
      <c r="D17" s="6" t="s">
        <v>613</v>
      </c>
      <c r="E17" s="6" t="s">
        <v>614</v>
      </c>
      <c r="F17" s="6" t="s">
        <v>585</v>
      </c>
      <c r="G17" s="40">
        <v>0</v>
      </c>
      <c r="H17" s="6">
        <v>3</v>
      </c>
      <c r="I17" s="6">
        <v>3</v>
      </c>
      <c r="J17" s="6">
        <v>1</v>
      </c>
      <c r="K17" s="6">
        <v>3</v>
      </c>
      <c r="L17" s="6">
        <v>0</v>
      </c>
      <c r="M17" s="5">
        <f>IFERROR((G17*Assumptions!$B$5 + H17*Assumptions!$B$6 + I17*Assumptions!$B$7 + J17*Assumptions!$B$8 + K17*Assumptions!$B$9 + L17*Assumptions!$B$10),"" )</f>
        <v>1.35</v>
      </c>
      <c r="N17" s="5" t="str">
        <f>IF(M17="","",IF(M17&gt;=Assumptions!$B$14,"Tier 1",IF(M17&gt;=Assumptions!$B$15,"Tier 2",IF(M17&gt;=Assumptions!$B$16,"Tier 3","Tier 4"))))</f>
        <v>Tier 4</v>
      </c>
      <c r="O17" s="6"/>
      <c r="P17" s="6" t="s">
        <v>615</v>
      </c>
    </row>
    <row r="18" spans="1:16" ht="32.1" customHeight="1">
      <c r="A18" s="5" t="s">
        <v>616</v>
      </c>
      <c r="B18" s="5" t="s">
        <v>39</v>
      </c>
      <c r="C18" s="5" t="str">
        <f>IFERROR(VLOOKUP(B18,Lists!$A$2:$B$200,2,FALSE()),"North America")</f>
        <v>North America</v>
      </c>
      <c r="D18" s="6" t="s">
        <v>583</v>
      </c>
      <c r="E18" s="6" t="s">
        <v>588</v>
      </c>
      <c r="F18" s="6" t="s">
        <v>585</v>
      </c>
      <c r="G18" s="40">
        <v>0</v>
      </c>
      <c r="H18" s="6">
        <v>3</v>
      </c>
      <c r="I18" s="6">
        <v>4</v>
      </c>
      <c r="J18" s="6">
        <v>1</v>
      </c>
      <c r="K18" s="6">
        <v>2</v>
      </c>
      <c r="L18" s="6">
        <v>0</v>
      </c>
      <c r="M18" s="5">
        <f>IFERROR((G18*Assumptions!$B$5 + H18*Assumptions!$B$6 + I18*Assumptions!$B$7 + J18*Assumptions!$B$8 + K18*Assumptions!$B$9 + L18*Assumptions!$B$10),"" )</f>
        <v>1.4000000000000001</v>
      </c>
      <c r="N18" s="5" t="str">
        <f>IF(M18="","",IF(M18&gt;=Assumptions!$B$14,"Tier 1",IF(M18&gt;=Assumptions!$B$15,"Tier 2",IF(M18&gt;=Assumptions!$B$16,"Tier 3","Tier 4"))))</f>
        <v>Tier 4</v>
      </c>
      <c r="O18" s="6"/>
      <c r="P18" s="6" t="s">
        <v>617</v>
      </c>
    </row>
    <row r="19" spans="1:16" ht="32.1" customHeight="1">
      <c r="A19" s="5" t="s">
        <v>618</v>
      </c>
      <c r="B19" s="5" t="s">
        <v>39</v>
      </c>
      <c r="C19" s="5" t="str">
        <f>IFERROR(VLOOKUP(B19,Lists!$A$2:$B$200,2,FALSE()),"North America")</f>
        <v>North America</v>
      </c>
      <c r="D19" s="6" t="s">
        <v>619</v>
      </c>
      <c r="E19" s="6" t="s">
        <v>620</v>
      </c>
      <c r="F19" s="6" t="s">
        <v>621</v>
      </c>
      <c r="G19" s="6">
        <v>2</v>
      </c>
      <c r="H19" s="6">
        <v>4</v>
      </c>
      <c r="I19" s="6">
        <v>4</v>
      </c>
      <c r="J19" s="6">
        <v>4</v>
      </c>
      <c r="K19" s="6">
        <v>5</v>
      </c>
      <c r="L19" s="6">
        <v>-1</v>
      </c>
      <c r="M19" s="5">
        <f>IFERROR((G19*Assumptions!$B$5 + H19*Assumptions!$B$6 + I19*Assumptions!$B$7 + J19*Assumptions!$B$8 + K19*Assumptions!$B$9 + L19*Assumptions!$B$10),"" )</f>
        <v>3.4499999999999997</v>
      </c>
      <c r="N19" s="5" t="str">
        <f>IF(M19="","",IF(M19&gt;=Assumptions!$B$14,"Tier 1",IF(M19&gt;=Assumptions!$B$15,"Tier 2",IF(M19&gt;=Assumptions!$B$16,"Tier 3","Tier 4"))))</f>
        <v>Tier 2</v>
      </c>
      <c r="O19" s="6"/>
      <c r="P19" s="6" t="s">
        <v>622</v>
      </c>
    </row>
    <row r="20" spans="1:16" ht="32.1" customHeight="1">
      <c r="A20" s="5" t="s">
        <v>623</v>
      </c>
      <c r="B20" s="5" t="s">
        <v>226</v>
      </c>
      <c r="C20" s="5" t="str">
        <f>IFERROR(VLOOKUP(B20,Lists!$A$2:$B$200,2,FALSE()),"Latin America")</f>
        <v>Latin America</v>
      </c>
      <c r="D20" s="6" t="s">
        <v>624</v>
      </c>
      <c r="E20" s="6" t="s">
        <v>625</v>
      </c>
      <c r="F20" s="6" t="s">
        <v>626</v>
      </c>
      <c r="G20" s="6">
        <v>4</v>
      </c>
      <c r="H20" s="6">
        <v>2</v>
      </c>
      <c r="I20" s="6">
        <v>3</v>
      </c>
      <c r="J20" s="6">
        <v>4</v>
      </c>
      <c r="K20" s="6">
        <v>3</v>
      </c>
      <c r="L20" s="6">
        <v>-1</v>
      </c>
      <c r="M20" s="5">
        <f>IFERROR((G20*Assumptions!$B$5 + H20*Assumptions!$B$6 + I20*Assumptions!$B$7 + J20*Assumptions!$B$8 + K20*Assumptions!$B$9 + L20*Assumptions!$B$10),"" )</f>
        <v>3.55</v>
      </c>
      <c r="N20" s="5" t="str">
        <f>IF(M20="","",IF(M20&gt;=Assumptions!$B$14,"Tier 1",IF(M20&gt;=Assumptions!$B$15,"Tier 2",IF(M20&gt;=Assumptions!$B$16,"Tier 3","Tier 4"))))</f>
        <v>Tier 2</v>
      </c>
      <c r="O20" s="6"/>
      <c r="P20" s="6" t="s">
        <v>627</v>
      </c>
    </row>
    <row r="21" spans="1:16" ht="32.1" customHeight="1">
      <c r="A21" s="5" t="s">
        <v>628</v>
      </c>
      <c r="B21" s="5" t="s">
        <v>629</v>
      </c>
      <c r="C21" s="5" t="str">
        <f>IFERROR(VLOOKUP(B21,Lists!$A$2:$B$200,2,FALSE()),"Asia")</f>
        <v>Asia</v>
      </c>
      <c r="D21" s="6" t="s">
        <v>630</v>
      </c>
      <c r="E21" s="6" t="s">
        <v>631</v>
      </c>
      <c r="F21" s="6" t="s">
        <v>632</v>
      </c>
      <c r="G21" s="37">
        <v>5</v>
      </c>
      <c r="H21" s="6">
        <v>2</v>
      </c>
      <c r="I21" s="6">
        <v>2</v>
      </c>
      <c r="J21" s="6">
        <v>5</v>
      </c>
      <c r="K21" s="6">
        <v>4</v>
      </c>
      <c r="L21" s="6">
        <v>-2</v>
      </c>
      <c r="M21" s="5">
        <f>IFERROR((G21*Assumptions!$B$5 + H21*Assumptions!$B$6 + I21*Assumptions!$B$7 + J21*Assumptions!$B$8 + K21*Assumptions!$B$9 + L21*Assumptions!$B$10),"" )</f>
        <v>4.25</v>
      </c>
      <c r="N21" s="5" t="str">
        <f>IF(M21="","",IF(M21&gt;=Assumptions!$B$14,"Tier 1",IF(M21&gt;=Assumptions!$B$15,"Tier 2",IF(M21&gt;=Assumptions!$B$16,"Tier 3","Tier 4"))))</f>
        <v>Tier 1</v>
      </c>
      <c r="O21" s="6"/>
      <c r="P21" s="6" t="s">
        <v>633</v>
      </c>
    </row>
    <row r="22" spans="1:16" ht="32.1" customHeight="1">
      <c r="A22" s="37" t="s">
        <v>76</v>
      </c>
      <c r="B22" s="5" t="s">
        <v>60</v>
      </c>
      <c r="C22" s="5" t="str">
        <f>IFERROR(VLOOKUP(B22,Lists!$A$2:$B$200,2,FALSE()),"Europe")</f>
        <v>Europe</v>
      </c>
      <c r="D22" s="6" t="s">
        <v>77</v>
      </c>
      <c r="E22" s="6" t="s">
        <v>634</v>
      </c>
      <c r="F22" s="6" t="s">
        <v>635</v>
      </c>
      <c r="G22" s="37">
        <v>4</v>
      </c>
      <c r="H22" s="6">
        <v>2</v>
      </c>
      <c r="I22" s="6">
        <v>3</v>
      </c>
      <c r="J22" s="6">
        <v>4</v>
      </c>
      <c r="K22" s="6">
        <v>3</v>
      </c>
      <c r="L22" s="6">
        <v>-1</v>
      </c>
      <c r="M22" s="5">
        <f>IFERROR((G22*Assumptions!$B$5 + H22*Assumptions!$B$6 + I22*Assumptions!$B$7 + J22*Assumptions!$B$8 + K22*Assumptions!$B$9 + L22*Assumptions!$B$10),"" )</f>
        <v>3.55</v>
      </c>
      <c r="N22" s="5" t="str">
        <f>IF(M22="","",IF(M22&gt;=Assumptions!$B$14,"Tier 1",IF(M22&gt;=Assumptions!$B$15,"Tier 2",IF(M22&gt;=Assumptions!$B$16,"Tier 3","Tier 4"))))</f>
        <v>Tier 2</v>
      </c>
      <c r="O22" s="6"/>
      <c r="P22" s="6" t="s">
        <v>636</v>
      </c>
    </row>
    <row r="23" spans="1:16" ht="32.1" customHeight="1">
      <c r="A23" s="5" t="s">
        <v>637</v>
      </c>
      <c r="B23" s="5" t="s">
        <v>39</v>
      </c>
      <c r="C23" s="5" t="str">
        <f>IFERROR(VLOOKUP(B23,Lists!$A$2:$B$200,2,FALSE()),"North America")</f>
        <v>North America</v>
      </c>
      <c r="D23" s="6" t="s">
        <v>638</v>
      </c>
      <c r="E23" s="6" t="s">
        <v>639</v>
      </c>
      <c r="F23" s="6" t="s">
        <v>640</v>
      </c>
      <c r="G23" s="40">
        <v>0</v>
      </c>
      <c r="H23" s="6">
        <v>3</v>
      </c>
      <c r="I23" s="6">
        <v>4</v>
      </c>
      <c r="J23" s="6">
        <v>1</v>
      </c>
      <c r="K23" s="6">
        <v>5</v>
      </c>
      <c r="L23" s="6">
        <v>0</v>
      </c>
      <c r="M23" s="5">
        <f>IFERROR((G23*Assumptions!$B$5 + H23*Assumptions!$B$6 + I23*Assumptions!$B$7 + J23*Assumptions!$B$8 + K23*Assumptions!$B$9 + L23*Assumptions!$B$10),"" )</f>
        <v>1.55</v>
      </c>
      <c r="N23" s="5" t="str">
        <f>IF(M23="","",IF(M23&gt;=Assumptions!$B$14,"Tier 1",IF(M23&gt;=Assumptions!$B$15,"Tier 2",IF(M23&gt;=Assumptions!$B$16,"Tier 3","Tier 4"))))</f>
        <v>Tier 4</v>
      </c>
      <c r="O23" s="6"/>
      <c r="P23" s="6" t="s">
        <v>641</v>
      </c>
    </row>
    <row r="24" spans="1:16" ht="32.1" customHeight="1">
      <c r="A24" s="5" t="s">
        <v>642</v>
      </c>
      <c r="B24" s="5" t="s">
        <v>39</v>
      </c>
      <c r="C24" s="5" t="str">
        <f>IFERROR(VLOOKUP(B24,Lists!$A$2:$B$200,2,FALSE()),"North America")</f>
        <v>North America</v>
      </c>
      <c r="D24" s="6" t="s">
        <v>643</v>
      </c>
      <c r="E24" s="6" t="s">
        <v>644</v>
      </c>
      <c r="F24" s="6" t="s">
        <v>645</v>
      </c>
      <c r="G24" s="6">
        <v>2</v>
      </c>
      <c r="H24" s="6">
        <v>3</v>
      </c>
      <c r="I24" s="6">
        <v>4</v>
      </c>
      <c r="J24" s="6">
        <v>3</v>
      </c>
      <c r="K24" s="6">
        <v>4</v>
      </c>
      <c r="L24" s="6">
        <v>-1</v>
      </c>
      <c r="M24" s="5">
        <f>IFERROR((G24*Assumptions!$B$5 + H24*Assumptions!$B$6 + I24*Assumptions!$B$7 + J24*Assumptions!$B$8 + K24*Assumptions!$B$9 + L24*Assumptions!$B$10),"" )</f>
        <v>2.9000000000000004</v>
      </c>
      <c r="N24" s="5" t="str">
        <f>IF(M24="","",IF(M24&gt;=Assumptions!$B$14,"Tier 1",IF(M24&gt;=Assumptions!$B$15,"Tier 2",IF(M24&gt;=Assumptions!$B$16,"Tier 3","Tier 4"))))</f>
        <v>Tier 3</v>
      </c>
      <c r="O24" s="6"/>
      <c r="P24" s="6" t="s">
        <v>646</v>
      </c>
    </row>
    <row r="25" spans="1:16" ht="48" customHeight="1">
      <c r="A25" s="37" t="s">
        <v>647</v>
      </c>
      <c r="B25" s="5" t="s">
        <v>255</v>
      </c>
      <c r="C25" s="5" t="str">
        <f>IFERROR(VLOOKUP(B25,Lists!$A$2:$B$200,2,FALSE()),"Asia")</f>
        <v>Asia</v>
      </c>
      <c r="D25" s="6" t="s">
        <v>222</v>
      </c>
      <c r="E25" s="37" t="s">
        <v>648</v>
      </c>
      <c r="F25" s="6" t="s">
        <v>649</v>
      </c>
      <c r="G25" s="37">
        <v>5</v>
      </c>
      <c r="H25" s="6">
        <v>4</v>
      </c>
      <c r="I25" s="6">
        <v>2</v>
      </c>
      <c r="J25" s="6">
        <v>5</v>
      </c>
      <c r="K25" s="6">
        <v>4</v>
      </c>
      <c r="L25" s="6">
        <v>-1</v>
      </c>
      <c r="M25" s="5">
        <f>IFERROR((G25*Assumptions!$B$5 + H25*Assumptions!$B$6 + I25*Assumptions!$B$7 + J25*Assumptions!$B$8 + K25*Assumptions!$B$9 + L25*Assumptions!$B$10),"" )</f>
        <v>4.55</v>
      </c>
      <c r="N25" s="5" t="str">
        <f>IF(M25="","",IF(M25&gt;=Assumptions!$B$14,"Tier 1",IF(M25&gt;=Assumptions!$B$15,"Tier 2",IF(M25&gt;=Assumptions!$B$16,"Tier 3","Tier 4"))))</f>
        <v>Tier 1</v>
      </c>
      <c r="O25" s="6"/>
      <c r="P25" s="6" t="s">
        <v>650</v>
      </c>
    </row>
    <row r="26" spans="1:16" ht="32.1" customHeight="1">
      <c r="A26" s="5" t="s">
        <v>651</v>
      </c>
      <c r="B26" s="5" t="s">
        <v>116</v>
      </c>
      <c r="C26" s="5" t="str">
        <f>IFERROR(VLOOKUP(B26,Lists!$A$2:$B$200,2,FALSE()),"North America")</f>
        <v>North America</v>
      </c>
      <c r="D26" s="6" t="s">
        <v>563</v>
      </c>
      <c r="E26" s="6" t="s">
        <v>652</v>
      </c>
      <c r="F26" s="6" t="s">
        <v>653</v>
      </c>
      <c r="G26" s="6">
        <v>0</v>
      </c>
      <c r="H26" s="6">
        <v>3</v>
      </c>
      <c r="I26" s="6">
        <v>4</v>
      </c>
      <c r="J26" s="6">
        <v>1</v>
      </c>
      <c r="K26" s="6">
        <v>2</v>
      </c>
      <c r="L26" s="6">
        <v>0</v>
      </c>
      <c r="M26" s="5">
        <f>IFERROR((G26*Assumptions!$B$5 + H26*Assumptions!$B$6 + I26*Assumptions!$B$7 + J26*Assumptions!$B$8 + K26*Assumptions!$B$9 + L26*Assumptions!$B$10),"" )</f>
        <v>1.4000000000000001</v>
      </c>
      <c r="N26" s="5" t="str">
        <f>IF(M26="","",IF(M26&gt;=Assumptions!$B$14,"Tier 1",IF(M26&gt;=Assumptions!$B$15,"Tier 2",IF(M26&gt;=Assumptions!$B$16,"Tier 3","Tier 4"))))</f>
        <v>Tier 4</v>
      </c>
      <c r="O26" s="6"/>
      <c r="P26" s="6" t="s">
        <v>654</v>
      </c>
    </row>
    <row r="27" spans="1:16" ht="32.1" customHeight="1">
      <c r="A27" s="5" t="s">
        <v>655</v>
      </c>
      <c r="B27" s="5" t="s">
        <v>656</v>
      </c>
      <c r="C27" s="5" t="str">
        <f>IFERROR(VLOOKUP(B27,Lists!$A$2:$B$200,2,FALSE()),"Asia")</f>
        <v>Asia</v>
      </c>
      <c r="D27" s="6" t="s">
        <v>657</v>
      </c>
      <c r="E27" s="6" t="s">
        <v>658</v>
      </c>
      <c r="F27" s="6" t="s">
        <v>659</v>
      </c>
      <c r="G27" s="6">
        <v>5</v>
      </c>
      <c r="H27" s="6">
        <v>2</v>
      </c>
      <c r="I27" s="6">
        <v>1</v>
      </c>
      <c r="J27" s="6">
        <v>5</v>
      </c>
      <c r="K27" s="6">
        <v>3</v>
      </c>
      <c r="L27" s="6">
        <v>-2</v>
      </c>
      <c r="M27" s="5">
        <f>IFERROR((G27*Assumptions!$B$5 + H27*Assumptions!$B$6 + I27*Assumptions!$B$7 + J27*Assumptions!$B$8 + K27*Assumptions!$B$9 + L27*Assumptions!$B$10),"" )</f>
        <v>4.0999999999999996</v>
      </c>
      <c r="N27" s="5" t="str">
        <f>IF(M27="","",IF(M27&gt;=Assumptions!$B$14,"Tier 1",IF(M27&gt;=Assumptions!$B$15,"Tier 2",IF(M27&gt;=Assumptions!$B$16,"Tier 3","Tier 4"))))</f>
        <v>Tier 1</v>
      </c>
      <c r="O27" s="6"/>
      <c r="P27" s="6" t="s">
        <v>660</v>
      </c>
    </row>
    <row r="28" spans="1:16" ht="32.1" customHeight="1">
      <c r="A28" s="5" t="s">
        <v>661</v>
      </c>
      <c r="B28" s="5" t="s">
        <v>662</v>
      </c>
      <c r="C28" s="5" t="str">
        <f>IFERROR(VLOOKUP(B28,Lists!$A$2:$B$200,2,FALSE()),"Latin America")</f>
        <v>Latin America</v>
      </c>
      <c r="D28" s="6" t="s">
        <v>663</v>
      </c>
      <c r="E28" s="6" t="s">
        <v>664</v>
      </c>
      <c r="F28" s="6" t="s">
        <v>665</v>
      </c>
      <c r="G28" s="6">
        <v>1</v>
      </c>
      <c r="H28" s="6">
        <v>2</v>
      </c>
      <c r="I28" s="6">
        <v>3</v>
      </c>
      <c r="J28" s="6">
        <v>3</v>
      </c>
      <c r="K28" s="6">
        <v>4</v>
      </c>
      <c r="L28" s="6">
        <v>-1</v>
      </c>
      <c r="M28" s="5">
        <f>IFERROR((G28*Assumptions!$B$5 + H28*Assumptions!$B$6 + I28*Assumptions!$B$7 + J28*Assumptions!$B$8 + K28*Assumptions!$B$9 + L28*Assumptions!$B$10),"" )</f>
        <v>2.25</v>
      </c>
      <c r="N28" s="5" t="str">
        <f>IF(M28="","",IF(M28&gt;=Assumptions!$B$14,"Tier 1",IF(M28&gt;=Assumptions!$B$15,"Tier 2",IF(M28&gt;=Assumptions!$B$16,"Tier 3","Tier 4"))))</f>
        <v>Tier 4</v>
      </c>
      <c r="O28" s="6"/>
      <c r="P28" s="6" t="s">
        <v>666</v>
      </c>
    </row>
    <row r="29" spans="1:16" ht="32.1" customHeight="1">
      <c r="A29" s="5" t="s">
        <v>667</v>
      </c>
      <c r="B29" s="5" t="s">
        <v>668</v>
      </c>
      <c r="C29" s="5" t="str">
        <f>IFERROR(VLOOKUP(B29,Lists!$A$2:$B$200,2,FALSE()),"Asia")</f>
        <v>Asia</v>
      </c>
      <c r="D29" s="6" t="s">
        <v>669</v>
      </c>
      <c r="E29" s="6" t="s">
        <v>670</v>
      </c>
      <c r="F29" s="6" t="s">
        <v>671</v>
      </c>
      <c r="G29" s="6">
        <v>2</v>
      </c>
      <c r="H29" s="6">
        <v>2</v>
      </c>
      <c r="I29" s="6">
        <v>2</v>
      </c>
      <c r="J29" s="6">
        <v>3</v>
      </c>
      <c r="K29" s="6">
        <v>3</v>
      </c>
      <c r="L29" s="6">
        <v>-1</v>
      </c>
      <c r="M29" s="5">
        <f>IFERROR((G29*Assumptions!$B$5 + H29*Assumptions!$B$6 + I29*Assumptions!$B$7 + J29*Assumptions!$B$8 + K29*Assumptions!$B$9 + L29*Assumptions!$B$10),"" )</f>
        <v>2.4500000000000002</v>
      </c>
      <c r="N29" s="5" t="str">
        <f>IF(M29="","",IF(M29&gt;=Assumptions!$B$14,"Tier 1",IF(M29&gt;=Assumptions!$B$15,"Tier 2",IF(M29&gt;=Assumptions!$B$16,"Tier 3","Tier 4"))))</f>
        <v>Tier 4</v>
      </c>
      <c r="O29" s="6"/>
      <c r="P29" s="6" t="s">
        <v>672</v>
      </c>
    </row>
    <row r="30" spans="1:16" ht="32.1" customHeight="1">
      <c r="A30" s="5" t="s">
        <v>377</v>
      </c>
      <c r="B30" s="5" t="s">
        <v>39</v>
      </c>
      <c r="C30" s="5" t="str">
        <f>IFERROR(VLOOKUP(B30,Lists!$A$2:$B$200,2,FALSE()),"North America")</f>
        <v>North America</v>
      </c>
      <c r="D30" s="6" t="s">
        <v>673</v>
      </c>
      <c r="E30" s="6" t="s">
        <v>674</v>
      </c>
      <c r="F30" s="6" t="s">
        <v>675</v>
      </c>
      <c r="G30" s="40">
        <v>1</v>
      </c>
      <c r="H30" s="6">
        <v>2</v>
      </c>
      <c r="I30" s="6">
        <v>4</v>
      </c>
      <c r="J30" s="6">
        <v>3</v>
      </c>
      <c r="K30" s="6">
        <v>4</v>
      </c>
      <c r="L30" s="6">
        <v>-1</v>
      </c>
      <c r="M30" s="5">
        <f>IFERROR((G30*Assumptions!$B$5 + H30*Assumptions!$B$6 + I30*Assumptions!$B$7 + J30*Assumptions!$B$8 + K30*Assumptions!$B$9 + L30*Assumptions!$B$10),"" )</f>
        <v>2.35</v>
      </c>
      <c r="N30" s="5" t="str">
        <f>IF(M30="","",IF(M30&gt;=Assumptions!$B$14,"Tier 1",IF(M30&gt;=Assumptions!$B$15,"Tier 2",IF(M30&gt;=Assumptions!$B$16,"Tier 3","Tier 4"))))</f>
        <v>Tier 4</v>
      </c>
      <c r="O30" s="6"/>
      <c r="P30" s="6" t="s">
        <v>676</v>
      </c>
    </row>
    <row r="31" spans="1:16" ht="32.1" customHeight="1">
      <c r="A31" s="5" t="s">
        <v>677</v>
      </c>
      <c r="B31" s="5" t="s">
        <v>39</v>
      </c>
      <c r="C31" s="5" t="str">
        <f>IFERROR(VLOOKUP(B31,Lists!$A$2:$B$200,2,FALSE()),"North America")</f>
        <v>North America</v>
      </c>
      <c r="D31" s="6" t="s">
        <v>613</v>
      </c>
      <c r="E31" s="6" t="s">
        <v>678</v>
      </c>
      <c r="F31" s="6" t="s">
        <v>585</v>
      </c>
      <c r="G31" s="40">
        <v>0</v>
      </c>
      <c r="H31" s="6">
        <v>3</v>
      </c>
      <c r="I31" s="6">
        <v>4</v>
      </c>
      <c r="J31" s="6">
        <v>1</v>
      </c>
      <c r="K31" s="6">
        <v>3</v>
      </c>
      <c r="L31" s="6">
        <v>0</v>
      </c>
      <c r="M31" s="5">
        <f>IFERROR((G31*Assumptions!$B$5 + H31*Assumptions!$B$6 + I31*Assumptions!$B$7 + J31*Assumptions!$B$8 + K31*Assumptions!$B$9 + L31*Assumptions!$B$10),"" )</f>
        <v>1.4500000000000002</v>
      </c>
      <c r="N31" s="5" t="str">
        <f>IF(M31="","",IF(M31&gt;=Assumptions!$B$14,"Tier 1",IF(M31&gt;=Assumptions!$B$15,"Tier 2",IF(M31&gt;=Assumptions!$B$16,"Tier 3","Tier 4"))))</f>
        <v>Tier 4</v>
      </c>
      <c r="O31" s="6"/>
      <c r="P31" s="6" t="s">
        <v>679</v>
      </c>
    </row>
    <row r="32" spans="1:16" ht="32.1" customHeight="1">
      <c r="A32" s="5" t="s">
        <v>680</v>
      </c>
      <c r="B32" s="5" t="s">
        <v>39</v>
      </c>
      <c r="C32" s="5" t="str">
        <f>IFERROR(VLOOKUP(B32,Lists!$A$2:$B$200,2,FALSE()),"North America")</f>
        <v>North America</v>
      </c>
      <c r="D32" s="6" t="s">
        <v>681</v>
      </c>
      <c r="E32" s="6" t="s">
        <v>682</v>
      </c>
      <c r="F32" s="6" t="s">
        <v>683</v>
      </c>
      <c r="G32" s="6">
        <v>4</v>
      </c>
      <c r="H32" s="6">
        <v>2</v>
      </c>
      <c r="I32" s="6">
        <v>4</v>
      </c>
      <c r="J32" s="6">
        <v>4</v>
      </c>
      <c r="K32" s="6">
        <v>3</v>
      </c>
      <c r="L32" s="6">
        <v>-1</v>
      </c>
      <c r="M32" s="5">
        <f>IFERROR((G32*Assumptions!$B$5 + H32*Assumptions!$B$6 + I32*Assumptions!$B$7 + J32*Assumptions!$B$8 + K32*Assumptions!$B$9 + L32*Assumptions!$B$10),"" )</f>
        <v>3.6499999999999995</v>
      </c>
      <c r="N32" s="5" t="str">
        <f>IF(M32="","",IF(M32&gt;=Assumptions!$B$14,"Tier 1",IF(M32&gt;=Assumptions!$B$15,"Tier 2",IF(M32&gt;=Assumptions!$B$16,"Tier 3","Tier 4"))))</f>
        <v>Tier 2</v>
      </c>
      <c r="O32" s="6"/>
      <c r="P32" s="6" t="s">
        <v>684</v>
      </c>
    </row>
    <row r="33" spans="1:16" ht="32.1" customHeight="1">
      <c r="A33" s="5" t="s">
        <v>685</v>
      </c>
      <c r="B33" s="5" t="s">
        <v>686</v>
      </c>
      <c r="C33" s="5" t="str">
        <f>IFERROR(VLOOKUP(B33,Lists!$A$2:$B$200,2,FALSE()),"Asia")</f>
        <v>Asia</v>
      </c>
      <c r="D33" s="6" t="s">
        <v>687</v>
      </c>
      <c r="E33" s="6" t="s">
        <v>688</v>
      </c>
      <c r="F33" s="6" t="s">
        <v>689</v>
      </c>
      <c r="G33" s="37">
        <v>5</v>
      </c>
      <c r="H33" s="6">
        <v>3</v>
      </c>
      <c r="I33" s="6">
        <v>2</v>
      </c>
      <c r="J33" s="6">
        <v>5</v>
      </c>
      <c r="K33" s="6">
        <v>4</v>
      </c>
      <c r="L33" s="6">
        <v>-2</v>
      </c>
      <c r="M33" s="5">
        <f>IFERROR((G33*Assumptions!$B$5 + H33*Assumptions!$B$6 + I33*Assumptions!$B$7 + J33*Assumptions!$B$8 + K33*Assumptions!$B$9 + L33*Assumptions!$B$10),"" )</f>
        <v>4.4500000000000011</v>
      </c>
      <c r="N33" s="5" t="str">
        <f>IF(M33="","",IF(M33&gt;=Assumptions!$B$14,"Tier 1",IF(M33&gt;=Assumptions!$B$15,"Tier 2",IF(M33&gt;=Assumptions!$B$16,"Tier 3","Tier 4"))))</f>
        <v>Tier 1</v>
      </c>
      <c r="O33" s="6"/>
      <c r="P33" s="6" t="s">
        <v>690</v>
      </c>
    </row>
    <row r="34" spans="1:16" ht="32.1" customHeight="1">
      <c r="A34" s="5" t="s">
        <v>691</v>
      </c>
      <c r="B34" s="5" t="s">
        <v>248</v>
      </c>
      <c r="C34" s="5" t="str">
        <f>IFERROR(VLOOKUP(B34,Lists!$A$2:$B$200,2,FALSE()),"Europe")</f>
        <v>Europe</v>
      </c>
      <c r="D34" s="6" t="s">
        <v>613</v>
      </c>
      <c r="E34" s="6" t="s">
        <v>692</v>
      </c>
      <c r="F34" s="6" t="s">
        <v>585</v>
      </c>
      <c r="G34" s="40">
        <v>0</v>
      </c>
      <c r="H34" s="6">
        <v>3</v>
      </c>
      <c r="I34" s="6">
        <v>3</v>
      </c>
      <c r="J34" s="6">
        <v>1</v>
      </c>
      <c r="K34" s="6">
        <v>3</v>
      </c>
      <c r="L34" s="6">
        <v>0</v>
      </c>
      <c r="M34" s="5">
        <f>IFERROR((G34*Assumptions!$B$5 + H34*Assumptions!$B$6 + I34*Assumptions!$B$7 + J34*Assumptions!$B$8 + K34*Assumptions!$B$9 + L34*Assumptions!$B$10),"" )</f>
        <v>1.35</v>
      </c>
      <c r="N34" s="5" t="str">
        <f>IF(M34="","",IF(M34&gt;=Assumptions!$B$14,"Tier 1",IF(M34&gt;=Assumptions!$B$15,"Tier 2",IF(M34&gt;=Assumptions!$B$16,"Tier 3","Tier 4"))))</f>
        <v>Tier 4</v>
      </c>
      <c r="O34" s="6"/>
      <c r="P34" s="6" t="s">
        <v>693</v>
      </c>
    </row>
    <row r="35" spans="1:16" ht="32.1" customHeight="1">
      <c r="A35" s="5" t="s">
        <v>694</v>
      </c>
      <c r="B35" s="5" t="s">
        <v>656</v>
      </c>
      <c r="C35" s="5" t="str">
        <f>IFERROR(VLOOKUP(B35,Lists!$A$2:$B$200,2,FALSE()),"Asia")</f>
        <v>Asia</v>
      </c>
      <c r="D35" s="6" t="s">
        <v>695</v>
      </c>
      <c r="E35" s="6" t="s">
        <v>696</v>
      </c>
      <c r="F35" s="6" t="s">
        <v>697</v>
      </c>
      <c r="G35" s="6">
        <v>3</v>
      </c>
      <c r="H35" s="6">
        <v>2</v>
      </c>
      <c r="I35" s="6">
        <v>1</v>
      </c>
      <c r="J35" s="6">
        <v>4</v>
      </c>
      <c r="K35" s="6">
        <v>3</v>
      </c>
      <c r="L35" s="6">
        <v>-2</v>
      </c>
      <c r="M35" s="5">
        <f>IFERROR((G35*Assumptions!$B$5 + H35*Assumptions!$B$6 + I35*Assumptions!$B$7 + J35*Assumptions!$B$8 + K35*Assumptions!$B$9 + L35*Assumptions!$B$10),"" )</f>
        <v>3.1</v>
      </c>
      <c r="N35" s="5" t="str">
        <f>IF(M35="","",IF(M35&gt;=Assumptions!$B$14,"Tier 1",IF(M35&gt;=Assumptions!$B$15,"Tier 2",IF(M35&gt;=Assumptions!$B$16,"Tier 3","Tier 4"))))</f>
        <v>Tier 3</v>
      </c>
      <c r="O35" s="6"/>
      <c r="P35" s="6" t="s">
        <v>698</v>
      </c>
    </row>
    <row r="36" spans="1:16" ht="32.1" customHeight="1">
      <c r="A36" s="5" t="s">
        <v>699</v>
      </c>
      <c r="B36" s="5" t="s">
        <v>248</v>
      </c>
      <c r="C36" s="5" t="str">
        <f>IFERROR(VLOOKUP(B36,Lists!$A$2:$B$200,2,FALSE()),"Europe")</f>
        <v>Europe</v>
      </c>
      <c r="D36" s="6" t="s">
        <v>700</v>
      </c>
      <c r="E36" s="6" t="s">
        <v>701</v>
      </c>
      <c r="F36" s="6" t="s">
        <v>702</v>
      </c>
      <c r="G36" s="40">
        <v>2</v>
      </c>
      <c r="H36" s="6">
        <v>3</v>
      </c>
      <c r="I36" s="6">
        <v>4</v>
      </c>
      <c r="J36" s="6">
        <v>3</v>
      </c>
      <c r="K36" s="6">
        <v>4</v>
      </c>
      <c r="L36" s="6">
        <v>-1</v>
      </c>
      <c r="M36" s="5">
        <f>IFERROR((G36*Assumptions!$B$5 + H36*Assumptions!$B$6 + I36*Assumptions!$B$7 + J36*Assumptions!$B$8 + K36*Assumptions!$B$9 + L36*Assumptions!$B$10),"" )</f>
        <v>2.9000000000000004</v>
      </c>
      <c r="N36" s="5" t="str">
        <f>IF(M36="","",IF(M36&gt;=Assumptions!$B$14,"Tier 1",IF(M36&gt;=Assumptions!$B$15,"Tier 2",IF(M36&gt;=Assumptions!$B$16,"Tier 3","Tier 4"))))</f>
        <v>Tier 3</v>
      </c>
      <c r="O36" s="6"/>
      <c r="P36" s="6" t="s">
        <v>703</v>
      </c>
    </row>
    <row r="37" spans="1:16" ht="32.1" customHeight="1">
      <c r="A37" s="5" t="s">
        <v>704</v>
      </c>
      <c r="B37" s="5" t="s">
        <v>39</v>
      </c>
      <c r="C37" s="5" t="str">
        <f>IFERROR(VLOOKUP(B37,Lists!$A$2:$B$200,2,FALSE()),"North America")</f>
        <v>North America</v>
      </c>
      <c r="D37" s="6" t="s">
        <v>630</v>
      </c>
      <c r="E37" s="6" t="s">
        <v>705</v>
      </c>
      <c r="F37" s="6" t="s">
        <v>659</v>
      </c>
      <c r="G37" s="37">
        <v>5</v>
      </c>
      <c r="H37" s="6">
        <v>2</v>
      </c>
      <c r="I37" s="6">
        <v>4</v>
      </c>
      <c r="J37" s="6">
        <v>5</v>
      </c>
      <c r="K37" s="6">
        <v>4</v>
      </c>
      <c r="L37" s="6">
        <v>-1</v>
      </c>
      <c r="M37" s="5">
        <f>IFERROR((G37*Assumptions!$B$5 + H37*Assumptions!$B$6 + I37*Assumptions!$B$7 + J37*Assumptions!$B$8 + K37*Assumptions!$B$9 + L37*Assumptions!$B$10),"" )</f>
        <v>4.3499999999999996</v>
      </c>
      <c r="N37" s="5" t="str">
        <f>IF(M37="","",IF(M37&gt;=Assumptions!$B$14,"Tier 1",IF(M37&gt;=Assumptions!$B$15,"Tier 2",IF(M37&gt;=Assumptions!$B$16,"Tier 3","Tier 4"))))</f>
        <v>Tier 1</v>
      </c>
      <c r="O37" s="6"/>
      <c r="P37" s="6" t="s">
        <v>706</v>
      </c>
    </row>
    <row r="38" spans="1:16" ht="32.1" customHeight="1">
      <c r="A38" s="5" t="s">
        <v>707</v>
      </c>
      <c r="B38" s="5" t="s">
        <v>708</v>
      </c>
      <c r="C38" s="5" t="str">
        <f>IFERROR(VLOOKUP(B38,Lists!$A$2:$B$200,2,FALSE()),"Asia")</f>
        <v>Asia</v>
      </c>
      <c r="D38" s="6" t="s">
        <v>709</v>
      </c>
      <c r="E38" s="6" t="s">
        <v>710</v>
      </c>
      <c r="F38" s="6" t="s">
        <v>711</v>
      </c>
      <c r="G38" s="40">
        <v>1</v>
      </c>
      <c r="H38" s="6">
        <v>2</v>
      </c>
      <c r="I38" s="6">
        <v>3</v>
      </c>
      <c r="J38" s="6">
        <v>2</v>
      </c>
      <c r="K38" s="6">
        <v>3</v>
      </c>
      <c r="L38" s="6">
        <v>-1</v>
      </c>
      <c r="M38" s="5">
        <f>IFERROR((G38*Assumptions!$B$5 + H38*Assumptions!$B$6 + I38*Assumptions!$B$7 + J38*Assumptions!$B$8 + K38*Assumptions!$B$9 + L38*Assumptions!$B$10),"" )</f>
        <v>1.9</v>
      </c>
      <c r="N38" s="5" t="str">
        <f>IF(M38="","",IF(M38&gt;=Assumptions!$B$14,"Tier 1",IF(M38&gt;=Assumptions!$B$15,"Tier 2",IF(M38&gt;=Assumptions!$B$16,"Tier 3","Tier 4"))))</f>
        <v>Tier 4</v>
      </c>
      <c r="O38" s="6"/>
      <c r="P38" s="6" t="s">
        <v>712</v>
      </c>
    </row>
    <row r="39" spans="1:16" ht="32.1" customHeight="1">
      <c r="A39" s="5" t="s">
        <v>713</v>
      </c>
      <c r="B39" s="5" t="s">
        <v>90</v>
      </c>
      <c r="C39" s="5" t="str">
        <f>IFERROR(VLOOKUP(B39,Lists!$A$2:$B$200,2,FALSE()),"Oceania")</f>
        <v>Oceania</v>
      </c>
      <c r="D39" s="6" t="s">
        <v>714</v>
      </c>
      <c r="E39" s="6" t="s">
        <v>715</v>
      </c>
      <c r="F39" s="6" t="s">
        <v>716</v>
      </c>
      <c r="G39" s="6">
        <v>4</v>
      </c>
      <c r="H39" s="6">
        <v>3</v>
      </c>
      <c r="I39" s="6">
        <v>5</v>
      </c>
      <c r="J39" s="6">
        <v>4</v>
      </c>
      <c r="K39" s="6">
        <v>4</v>
      </c>
      <c r="L39" s="6">
        <v>0</v>
      </c>
      <c r="M39" s="5">
        <f>IFERROR((G39*Assumptions!$B$5 + H39*Assumptions!$B$6 + I39*Assumptions!$B$7 + J39*Assumptions!$B$8 + K39*Assumptions!$B$9 + L39*Assumptions!$B$10),"" )</f>
        <v>3.9000000000000004</v>
      </c>
      <c r="N39" s="5" t="str">
        <f>IF(M39="","",IF(M39&gt;=Assumptions!$B$14,"Tier 1",IF(M39&gt;=Assumptions!$B$15,"Tier 2",IF(M39&gt;=Assumptions!$B$16,"Tier 3","Tier 4"))))</f>
        <v>Tier 2</v>
      </c>
      <c r="O39" s="6"/>
      <c r="P39" s="6" t="s">
        <v>717</v>
      </c>
    </row>
    <row r="40" spans="1:16" ht="32.1" customHeight="1">
      <c r="A40" s="5" t="s">
        <v>718</v>
      </c>
      <c r="B40" s="5" t="s">
        <v>116</v>
      </c>
      <c r="C40" s="5" t="str">
        <f>IFERROR(VLOOKUP(B40,Lists!$A$2:$B$200,2,FALSE()),"North America")</f>
        <v>North America</v>
      </c>
      <c r="D40" s="6" t="s">
        <v>719</v>
      </c>
      <c r="E40" s="6" t="s">
        <v>720</v>
      </c>
      <c r="F40" s="6" t="s">
        <v>721</v>
      </c>
      <c r="G40" s="40">
        <v>1</v>
      </c>
      <c r="H40" s="6">
        <v>3</v>
      </c>
      <c r="I40" s="6">
        <v>4</v>
      </c>
      <c r="J40" s="6">
        <v>3</v>
      </c>
      <c r="K40" s="6">
        <v>3</v>
      </c>
      <c r="L40" s="6">
        <v>0</v>
      </c>
      <c r="M40" s="5">
        <f>IFERROR((G40*Assumptions!$B$5 + H40*Assumptions!$B$6 + I40*Assumptions!$B$7 + J40*Assumptions!$B$8 + K40*Assumptions!$B$9 + L40*Assumptions!$B$10),"" )</f>
        <v>2.4</v>
      </c>
      <c r="N40" s="5" t="str">
        <f>IF(M40="","",IF(M40&gt;=Assumptions!$B$14,"Tier 1",IF(M40&gt;=Assumptions!$B$15,"Tier 2",IF(M40&gt;=Assumptions!$B$16,"Tier 3","Tier 4"))))</f>
        <v>Tier 4</v>
      </c>
      <c r="O40" s="6"/>
      <c r="P40" s="6" t="s">
        <v>722</v>
      </c>
    </row>
    <row r="41" spans="1:16" ht="32.1" customHeight="1">
      <c r="A41" s="5" t="s">
        <v>723</v>
      </c>
      <c r="B41" s="5" t="s">
        <v>65</v>
      </c>
      <c r="C41" s="5" t="str">
        <f>IFERROR(VLOOKUP(B41,Lists!$A$2:$B$200,2,FALSE()),"Europe")</f>
        <v>Europe</v>
      </c>
      <c r="D41" s="6" t="s">
        <v>724</v>
      </c>
      <c r="E41" s="6" t="s">
        <v>725</v>
      </c>
      <c r="F41" s="6" t="s">
        <v>726</v>
      </c>
      <c r="G41" s="40">
        <v>1</v>
      </c>
      <c r="H41" s="6">
        <v>5</v>
      </c>
      <c r="I41" s="6">
        <v>4</v>
      </c>
      <c r="J41" s="6">
        <v>2</v>
      </c>
      <c r="K41" s="6">
        <v>4</v>
      </c>
      <c r="L41" s="6">
        <v>-1</v>
      </c>
      <c r="M41" s="5">
        <f>IFERROR((G41*Assumptions!$B$5 + H41*Assumptions!$B$6 + I41*Assumptions!$B$7 + J41*Assumptions!$B$8 + K41*Assumptions!$B$9 + L41*Assumptions!$B$10),"" )</f>
        <v>2.6500000000000004</v>
      </c>
      <c r="N41" s="5" t="str">
        <f>IF(M41="","",IF(M41&gt;=Assumptions!$B$14,"Tier 1",IF(M41&gt;=Assumptions!$B$15,"Tier 2",IF(M41&gt;=Assumptions!$B$16,"Tier 3","Tier 4"))))</f>
        <v>Tier 3</v>
      </c>
      <c r="O41" s="6"/>
      <c r="P41" s="6" t="s">
        <v>727</v>
      </c>
    </row>
    <row r="42" spans="1:16" ht="32.1" customHeight="1">
      <c r="A42" s="5" t="s">
        <v>728</v>
      </c>
      <c r="B42" s="5" t="s">
        <v>39</v>
      </c>
      <c r="C42" s="5" t="str">
        <f>IFERROR(VLOOKUP(B42,Lists!$A$2:$B$200,2,FALSE()),"North America")</f>
        <v>North America</v>
      </c>
      <c r="D42" s="6" t="s">
        <v>729</v>
      </c>
      <c r="E42" s="6" t="s">
        <v>730</v>
      </c>
      <c r="F42" s="6" t="s">
        <v>731</v>
      </c>
      <c r="G42" s="40">
        <v>2</v>
      </c>
      <c r="H42" s="6">
        <v>2</v>
      </c>
      <c r="I42" s="6">
        <v>4</v>
      </c>
      <c r="J42" s="6">
        <v>3</v>
      </c>
      <c r="K42" s="6">
        <v>4</v>
      </c>
      <c r="L42" s="6">
        <v>-1</v>
      </c>
      <c r="M42" s="5">
        <f>IFERROR((G42*Assumptions!$B$5 + H42*Assumptions!$B$6 + I42*Assumptions!$B$7 + J42*Assumptions!$B$8 + K42*Assumptions!$B$9 + L42*Assumptions!$B$10),"" )</f>
        <v>2.7</v>
      </c>
      <c r="N42" s="5" t="str">
        <f>IF(M42="","",IF(M42&gt;=Assumptions!$B$14,"Tier 1",IF(M42&gt;=Assumptions!$B$15,"Tier 2",IF(M42&gt;=Assumptions!$B$16,"Tier 3","Tier 4"))))</f>
        <v>Tier 3</v>
      </c>
      <c r="O42" s="6"/>
      <c r="P42" s="6" t="s">
        <v>732</v>
      </c>
    </row>
    <row r="43" spans="1:16" ht="32.1" customHeight="1">
      <c r="A43" s="5" t="s">
        <v>733</v>
      </c>
      <c r="B43" s="5" t="s">
        <v>39</v>
      </c>
      <c r="C43" s="5" t="str">
        <f>IFERROR(VLOOKUP(B43,Lists!$A$2:$B$200,2,FALSE()),"North America")</f>
        <v>North America</v>
      </c>
      <c r="D43" s="6" t="s">
        <v>734</v>
      </c>
      <c r="E43" s="6" t="s">
        <v>735</v>
      </c>
      <c r="F43" s="6" t="s">
        <v>736</v>
      </c>
      <c r="G43" s="40">
        <v>0</v>
      </c>
      <c r="H43" s="6">
        <v>0</v>
      </c>
      <c r="I43" s="6">
        <v>4</v>
      </c>
      <c r="J43" s="6">
        <v>0</v>
      </c>
      <c r="K43" s="6">
        <v>2</v>
      </c>
      <c r="L43" s="6">
        <v>0</v>
      </c>
      <c r="M43" s="5">
        <f>IFERROR((G43*Assumptions!$B$5 + H43*Assumptions!$B$6 + I43*Assumptions!$B$7 + J43*Assumptions!$B$8 + K43*Assumptions!$B$9 + L43*Assumptions!$B$10),"" )</f>
        <v>0.5</v>
      </c>
      <c r="N43" s="5" t="str">
        <f>IF(M43="","",IF(M43&gt;=Assumptions!$B$14,"Tier 1",IF(M43&gt;=Assumptions!$B$15,"Tier 2",IF(M43&gt;=Assumptions!$B$16,"Tier 3","Tier 4"))))</f>
        <v>Tier 4</v>
      </c>
      <c r="O43" s="6"/>
      <c r="P43" s="6" t="s">
        <v>737</v>
      </c>
    </row>
    <row r="44" spans="1:16" ht="32.1" customHeight="1">
      <c r="A44" s="5" t="s">
        <v>738</v>
      </c>
      <c r="B44" s="5" t="s">
        <v>39</v>
      </c>
      <c r="C44" s="5" t="str">
        <f>IFERROR(VLOOKUP(B44,Lists!$A$2:$B$200,2,FALSE()),"North America")</f>
        <v>North America</v>
      </c>
      <c r="D44" s="6" t="s">
        <v>739</v>
      </c>
      <c r="E44" s="6" t="s">
        <v>740</v>
      </c>
      <c r="F44" s="6" t="s">
        <v>741</v>
      </c>
      <c r="G44" s="40">
        <v>0</v>
      </c>
      <c r="H44" s="6">
        <v>3</v>
      </c>
      <c r="I44" s="6">
        <v>4</v>
      </c>
      <c r="J44" s="6">
        <v>1</v>
      </c>
      <c r="K44" s="6">
        <v>3</v>
      </c>
      <c r="L44" s="6">
        <v>0</v>
      </c>
      <c r="M44" s="5">
        <f>IFERROR((G44*Assumptions!$B$5 + H44*Assumptions!$B$6 + I44*Assumptions!$B$7 + J44*Assumptions!$B$8 + K44*Assumptions!$B$9 + L44*Assumptions!$B$10),"" )</f>
        <v>1.4500000000000002</v>
      </c>
      <c r="N44" s="5" t="str">
        <f>IF(M44="","",IF(M44&gt;=Assumptions!$B$14,"Tier 1",IF(M44&gt;=Assumptions!$B$15,"Tier 2",IF(M44&gt;=Assumptions!$B$16,"Tier 3","Tier 4"))))</f>
        <v>Tier 4</v>
      </c>
      <c r="O44" s="6"/>
      <c r="P44" s="6" t="s">
        <v>742</v>
      </c>
    </row>
    <row r="45" spans="1:16" ht="32.1" customHeight="1">
      <c r="A45" s="5" t="s">
        <v>743</v>
      </c>
      <c r="B45" s="5" t="s">
        <v>231</v>
      </c>
      <c r="C45" s="5" t="str">
        <f>IFERROR(VLOOKUP(B45,Lists!$A$2:$B$200,2,FALSE()),"Africa")</f>
        <v>Africa</v>
      </c>
      <c r="D45" s="6" t="s">
        <v>583</v>
      </c>
      <c r="E45" s="6" t="s">
        <v>744</v>
      </c>
      <c r="F45" s="6" t="s">
        <v>585</v>
      </c>
      <c r="G45" s="40">
        <v>0</v>
      </c>
      <c r="H45" s="6">
        <v>3</v>
      </c>
      <c r="I45" s="6">
        <v>3</v>
      </c>
      <c r="J45" s="6">
        <v>1</v>
      </c>
      <c r="K45" s="6">
        <v>3</v>
      </c>
      <c r="L45" s="6">
        <v>0</v>
      </c>
      <c r="M45" s="5">
        <f>IFERROR((G45*Assumptions!$B$5 + H45*Assumptions!$B$6 + I45*Assumptions!$B$7 + J45*Assumptions!$B$8 + K45*Assumptions!$B$9 + L45*Assumptions!$B$10),"" )</f>
        <v>1.35</v>
      </c>
      <c r="N45" s="5" t="str">
        <f>IF(M45="","",IF(M45&gt;=Assumptions!$B$14,"Tier 1",IF(M45&gt;=Assumptions!$B$15,"Tier 2",IF(M45&gt;=Assumptions!$B$16,"Tier 3","Tier 4"))))</f>
        <v>Tier 4</v>
      </c>
      <c r="O45" s="6"/>
      <c r="P45" s="6" t="s">
        <v>745</v>
      </c>
    </row>
    <row r="46" spans="1:16" ht="48" customHeight="1">
      <c r="A46" s="5" t="s">
        <v>370</v>
      </c>
      <c r="B46" s="5" t="s">
        <v>65</v>
      </c>
      <c r="C46" s="5" t="str">
        <f>IFERROR(VLOOKUP(B46,Lists!$A$2:$B$200,2,FALSE()),"Europe")</f>
        <v>Europe</v>
      </c>
      <c r="D46" s="6" t="s">
        <v>746</v>
      </c>
      <c r="E46" s="6" t="s">
        <v>747</v>
      </c>
      <c r="F46" s="6" t="s">
        <v>748</v>
      </c>
      <c r="G46" s="6">
        <v>3</v>
      </c>
      <c r="H46" s="6">
        <v>5</v>
      </c>
      <c r="I46" s="6">
        <v>3</v>
      </c>
      <c r="J46" s="6">
        <v>4</v>
      </c>
      <c r="K46" s="6">
        <v>5</v>
      </c>
      <c r="L46" s="6">
        <v>-1</v>
      </c>
      <c r="M46" s="5">
        <f>IFERROR((G46*Assumptions!$B$5 + H46*Assumptions!$B$6 + I46*Assumptions!$B$7 + J46*Assumptions!$B$8 + K46*Assumptions!$B$9 + L46*Assumptions!$B$10),"" )</f>
        <v>3.9</v>
      </c>
      <c r="N46" s="5" t="str">
        <f>IF(M46="","",IF(M46&gt;=Assumptions!$B$14,"Tier 1",IF(M46&gt;=Assumptions!$B$15,"Tier 2",IF(M46&gt;=Assumptions!$B$16,"Tier 3","Tier 4"))))</f>
        <v>Tier 2</v>
      </c>
      <c r="O46" s="6"/>
      <c r="P46" s="84" t="s">
        <v>749</v>
      </c>
    </row>
    <row r="47" spans="1:16" ht="32.1" customHeight="1">
      <c r="A47" s="5" t="s">
        <v>750</v>
      </c>
      <c r="B47" s="5" t="s">
        <v>656</v>
      </c>
      <c r="C47" s="5" t="str">
        <f>IFERROR(VLOOKUP(B47,Lists!$A$2:$B$200,2,FALSE()),"Asia")</f>
        <v>Asia</v>
      </c>
      <c r="D47" s="6" t="s">
        <v>751</v>
      </c>
      <c r="E47" s="6" t="s">
        <v>752</v>
      </c>
      <c r="F47" s="6" t="s">
        <v>753</v>
      </c>
      <c r="G47" s="6">
        <v>3</v>
      </c>
      <c r="H47" s="6">
        <v>3</v>
      </c>
      <c r="I47" s="6">
        <v>1</v>
      </c>
      <c r="J47" s="6">
        <v>4</v>
      </c>
      <c r="K47" s="6">
        <v>3</v>
      </c>
      <c r="L47" s="6">
        <v>-2</v>
      </c>
      <c r="M47" s="5">
        <f>IFERROR((G47*Assumptions!$B$5 + H47*Assumptions!$B$6 + I47*Assumptions!$B$7 + J47*Assumptions!$B$8 + K47*Assumptions!$B$9 + L47*Assumptions!$B$10),"" )</f>
        <v>3.3000000000000003</v>
      </c>
      <c r="N47" s="5" t="str">
        <f>IF(M47="","",IF(M47&gt;=Assumptions!$B$14,"Tier 1",IF(M47&gt;=Assumptions!$B$15,"Tier 2",IF(M47&gt;=Assumptions!$B$16,"Tier 3","Tier 4"))))</f>
        <v>Tier 2</v>
      </c>
      <c r="O47" s="6"/>
      <c r="P47" s="6" t="s">
        <v>754</v>
      </c>
    </row>
    <row r="48" spans="1:16" ht="32.1" customHeight="1">
      <c r="A48" s="5" t="s">
        <v>755</v>
      </c>
      <c r="B48" s="5" t="s">
        <v>39</v>
      </c>
      <c r="C48" s="5" t="str">
        <f>IFERROR(VLOOKUP(B48,Lists!$A$2:$B$200,2,FALSE()),"North America")</f>
        <v>North America</v>
      </c>
      <c r="D48" s="6" t="s">
        <v>756</v>
      </c>
      <c r="E48" s="6" t="s">
        <v>757</v>
      </c>
      <c r="F48" s="6" t="s">
        <v>758</v>
      </c>
      <c r="G48" s="6">
        <v>3</v>
      </c>
      <c r="H48" s="6">
        <v>3</v>
      </c>
      <c r="I48" s="6">
        <v>4</v>
      </c>
      <c r="J48" s="6">
        <v>3</v>
      </c>
      <c r="K48" s="6">
        <v>3</v>
      </c>
      <c r="L48" s="6">
        <v>0</v>
      </c>
      <c r="M48" s="5">
        <f>IFERROR((G48*Assumptions!$B$5 + H48*Assumptions!$B$6 + I48*Assumptions!$B$7 + J48*Assumptions!$B$8 + K48*Assumptions!$B$9 + L48*Assumptions!$B$10),"" )</f>
        <v>3.0999999999999996</v>
      </c>
      <c r="N48" s="5" t="str">
        <f>IF(M48="","",IF(M48&gt;=Assumptions!$B$14,"Tier 1",IF(M48&gt;=Assumptions!$B$15,"Tier 2",IF(M48&gt;=Assumptions!$B$16,"Tier 3","Tier 4"))))</f>
        <v>Tier 3</v>
      </c>
      <c r="O48" s="6"/>
      <c r="P48" s="85" t="s">
        <v>759</v>
      </c>
    </row>
    <row r="49" spans="1:16" ht="48" customHeight="1">
      <c r="A49" s="5" t="s">
        <v>760</v>
      </c>
      <c r="B49" s="5" t="s">
        <v>39</v>
      </c>
      <c r="C49" s="5" t="str">
        <f>IFERROR(VLOOKUP(B49,Lists!$A$2:$B$200,2,FALSE()),"North America")</f>
        <v>North America</v>
      </c>
      <c r="D49" s="6" t="s">
        <v>761</v>
      </c>
      <c r="E49" s="6" t="s">
        <v>762</v>
      </c>
      <c r="F49" s="6" t="s">
        <v>763</v>
      </c>
      <c r="G49" s="40">
        <v>1</v>
      </c>
      <c r="H49" s="6">
        <v>4</v>
      </c>
      <c r="I49" s="6">
        <v>4</v>
      </c>
      <c r="J49" s="6">
        <v>2</v>
      </c>
      <c r="K49" s="6">
        <v>4</v>
      </c>
      <c r="L49" s="6">
        <v>0</v>
      </c>
      <c r="M49" s="5">
        <f>IFERROR((G49*Assumptions!$B$5 + H49*Assumptions!$B$6 + I49*Assumptions!$B$7 + J49*Assumptions!$B$8 + K49*Assumptions!$B$9 + L49*Assumptions!$B$10),"" )</f>
        <v>2.35</v>
      </c>
      <c r="N49" s="5" t="str">
        <f>IF(M49="","",IF(M49&gt;=Assumptions!$B$14,"Tier 1",IF(M49&gt;=Assumptions!$B$15,"Tier 2",IF(M49&gt;=Assumptions!$B$16,"Tier 3","Tier 4"))))</f>
        <v>Tier 4</v>
      </c>
      <c r="O49" s="6"/>
      <c r="P49" s="6" t="s">
        <v>764</v>
      </c>
    </row>
    <row r="50" spans="1:16" ht="32.1" customHeight="1">
      <c r="A50" s="5" t="s">
        <v>765</v>
      </c>
      <c r="B50" s="5" t="s">
        <v>656</v>
      </c>
      <c r="C50" s="5" t="str">
        <f>IFERROR(VLOOKUP(B50,Lists!$A$2:$B$200,2,FALSE()),"Asia")</f>
        <v>Asia</v>
      </c>
      <c r="D50" s="6" t="s">
        <v>638</v>
      </c>
      <c r="E50" s="6" t="s">
        <v>766</v>
      </c>
      <c r="F50" s="6" t="s">
        <v>767</v>
      </c>
      <c r="G50" s="40">
        <v>0</v>
      </c>
      <c r="H50" s="6">
        <v>3</v>
      </c>
      <c r="I50" s="6">
        <v>1</v>
      </c>
      <c r="J50" s="6">
        <v>1</v>
      </c>
      <c r="K50" s="6">
        <v>3</v>
      </c>
      <c r="L50" s="6">
        <v>-2</v>
      </c>
      <c r="M50" s="5">
        <f>IFERROR((G50*Assumptions!$B$5 + H50*Assumptions!$B$6 + I50*Assumptions!$B$7 + J50*Assumptions!$B$8 + K50*Assumptions!$B$9 + L50*Assumptions!$B$10),"" )</f>
        <v>1.3499999999999999</v>
      </c>
      <c r="N50" s="5" t="str">
        <f>IF(M50="","",IF(M50&gt;=Assumptions!$B$14,"Tier 1",IF(M50&gt;=Assumptions!$B$15,"Tier 2",IF(M50&gt;=Assumptions!$B$16,"Tier 3","Tier 4"))))</f>
        <v>Tier 4</v>
      </c>
      <c r="O50" s="6"/>
      <c r="P50" s="6" t="s">
        <v>768</v>
      </c>
    </row>
    <row r="51" spans="1:16" ht="32.1" customHeight="1">
      <c r="A51" s="5" t="s">
        <v>769</v>
      </c>
      <c r="B51" s="5" t="s">
        <v>39</v>
      </c>
      <c r="C51" s="5" t="str">
        <f>IFERROR(VLOOKUP(B51,Lists!$A$2:$B$200,2,FALSE()),"North America")</f>
        <v>North America</v>
      </c>
      <c r="D51" s="6" t="s">
        <v>770</v>
      </c>
      <c r="E51" s="6" t="s">
        <v>771</v>
      </c>
      <c r="F51" s="6" t="s">
        <v>772</v>
      </c>
      <c r="G51" s="40">
        <v>2</v>
      </c>
      <c r="H51" s="6">
        <v>4</v>
      </c>
      <c r="I51" s="6">
        <v>4</v>
      </c>
      <c r="J51" s="6">
        <v>3</v>
      </c>
      <c r="K51" s="6">
        <v>4</v>
      </c>
      <c r="L51" s="6">
        <v>-1</v>
      </c>
      <c r="M51" s="5">
        <f>IFERROR((G51*Assumptions!$B$5 + H51*Assumptions!$B$6 + I51*Assumptions!$B$7 + J51*Assumptions!$B$8 + K51*Assumptions!$B$9 + L51*Assumptions!$B$10),"" )</f>
        <v>3.1</v>
      </c>
      <c r="N51" s="5" t="str">
        <f>IF(M51="","",IF(M51&gt;=Assumptions!$B$14,"Tier 1",IF(M51&gt;=Assumptions!$B$15,"Tier 2",IF(M51&gt;=Assumptions!$B$16,"Tier 3","Tier 4"))))</f>
        <v>Tier 3</v>
      </c>
      <c r="O51" s="6"/>
      <c r="P51" s="6" t="s">
        <v>773</v>
      </c>
    </row>
    <row r="52" spans="1:16" ht="32.1" customHeight="1">
      <c r="A52" s="5" t="s">
        <v>774</v>
      </c>
      <c r="B52" s="5" t="s">
        <v>39</v>
      </c>
      <c r="C52" s="5" t="str">
        <f>IFERROR(VLOOKUP(B52,Lists!$A$2:$B$200,2,FALSE()),"North America")</f>
        <v>North America</v>
      </c>
      <c r="D52" s="6" t="s">
        <v>775</v>
      </c>
      <c r="E52" s="6" t="s">
        <v>776</v>
      </c>
      <c r="F52" s="6" t="s">
        <v>777</v>
      </c>
      <c r="G52" s="40">
        <v>2</v>
      </c>
      <c r="H52" s="6">
        <v>3</v>
      </c>
      <c r="I52" s="6">
        <v>4</v>
      </c>
      <c r="J52" s="6">
        <v>3</v>
      </c>
      <c r="K52" s="6">
        <v>3</v>
      </c>
      <c r="L52" s="6">
        <v>0</v>
      </c>
      <c r="M52" s="5">
        <f>IFERROR((G52*Assumptions!$B$5 + H52*Assumptions!$B$6 + I52*Assumptions!$B$7 + J52*Assumptions!$B$8 + K52*Assumptions!$B$9 + L52*Assumptions!$B$10),"" )</f>
        <v>2.75</v>
      </c>
      <c r="N52" s="5" t="str">
        <f>IF(M52="","",IF(M52&gt;=Assumptions!$B$14,"Tier 1",IF(M52&gt;=Assumptions!$B$15,"Tier 2",IF(M52&gt;=Assumptions!$B$16,"Tier 3","Tier 4"))))</f>
        <v>Tier 3</v>
      </c>
      <c r="O52" s="6"/>
      <c r="P52" s="6" t="s">
        <v>778</v>
      </c>
    </row>
    <row r="53" spans="1:16" ht="32.1" customHeight="1">
      <c r="A53" s="5" t="s">
        <v>779</v>
      </c>
      <c r="B53" s="5" t="s">
        <v>39</v>
      </c>
      <c r="C53" s="5" t="str">
        <f>IFERROR(VLOOKUP(B53,Lists!$A$2:$B$200,2,FALSE()),"North America")</f>
        <v>North America</v>
      </c>
      <c r="D53" s="6" t="s">
        <v>673</v>
      </c>
      <c r="E53" s="6" t="s">
        <v>776</v>
      </c>
      <c r="F53" s="6" t="s">
        <v>780</v>
      </c>
      <c r="G53" s="40">
        <v>2</v>
      </c>
      <c r="H53" s="6">
        <v>3</v>
      </c>
      <c r="I53" s="6">
        <v>4</v>
      </c>
      <c r="J53" s="6">
        <v>3</v>
      </c>
      <c r="K53" s="6">
        <v>3</v>
      </c>
      <c r="L53" s="6">
        <v>0</v>
      </c>
      <c r="M53" s="5">
        <f>IFERROR((G53*Assumptions!$B$5 + H53*Assumptions!$B$6 + I53*Assumptions!$B$7 + J53*Assumptions!$B$8 + K53*Assumptions!$B$9 + L53*Assumptions!$B$10),"" )</f>
        <v>2.75</v>
      </c>
      <c r="N53" s="5" t="str">
        <f>IF(M53="","",IF(M53&gt;=Assumptions!$B$14,"Tier 1",IF(M53&gt;=Assumptions!$B$15,"Tier 2",IF(M53&gt;=Assumptions!$B$16,"Tier 3","Tier 4"))))</f>
        <v>Tier 3</v>
      </c>
      <c r="O53" s="6"/>
      <c r="P53" s="6" t="s">
        <v>781</v>
      </c>
    </row>
    <row r="54" spans="1:16" ht="32.1" customHeight="1">
      <c r="A54" s="5" t="s">
        <v>782</v>
      </c>
      <c r="B54" s="5" t="s">
        <v>783</v>
      </c>
      <c r="C54" s="5" t="str">
        <f>IFERROR(VLOOKUP(B54,Lists!$A$2:$B$200,2,FALSE()),"Europe")</f>
        <v>Europe</v>
      </c>
      <c r="D54" s="6" t="s">
        <v>784</v>
      </c>
      <c r="E54" s="6" t="s">
        <v>785</v>
      </c>
      <c r="F54" s="6" t="s">
        <v>786</v>
      </c>
      <c r="G54" s="37">
        <v>4</v>
      </c>
      <c r="H54" s="6">
        <v>2</v>
      </c>
      <c r="I54" s="6">
        <v>5</v>
      </c>
      <c r="J54" s="6">
        <v>4</v>
      </c>
      <c r="K54" s="6">
        <v>4</v>
      </c>
      <c r="L54" s="6">
        <v>0</v>
      </c>
      <c r="M54" s="5">
        <f>IFERROR((G54*Assumptions!$B$5 + H54*Assumptions!$B$6 + I54*Assumptions!$B$7 + J54*Assumptions!$B$8 + K54*Assumptions!$B$9 + L54*Assumptions!$B$10),"" )</f>
        <v>3.7</v>
      </c>
      <c r="N54" s="5" t="str">
        <f>IF(M54="","",IF(M54&gt;=Assumptions!$B$14,"Tier 1",IF(M54&gt;=Assumptions!$B$15,"Tier 2",IF(M54&gt;=Assumptions!$B$16,"Tier 3","Tier 4"))))</f>
        <v>Tier 2</v>
      </c>
      <c r="O54" s="6"/>
      <c r="P54" s="85" t="s">
        <v>787</v>
      </c>
    </row>
    <row r="55" spans="1:16" ht="48" customHeight="1">
      <c r="A55" s="5" t="s">
        <v>788</v>
      </c>
      <c r="B55" s="5" t="s">
        <v>708</v>
      </c>
      <c r="C55" s="5" t="str">
        <f>IFERROR(VLOOKUP(B55,Lists!$A$2:$B$200,2,FALSE()),"Asia")</f>
        <v>Asia</v>
      </c>
      <c r="D55" s="6" t="s">
        <v>789</v>
      </c>
      <c r="E55" s="6" t="s">
        <v>790</v>
      </c>
      <c r="F55" s="6" t="s">
        <v>791</v>
      </c>
      <c r="G55" s="6">
        <v>3</v>
      </c>
      <c r="H55" s="6">
        <v>4</v>
      </c>
      <c r="I55" s="6">
        <v>3</v>
      </c>
      <c r="J55" s="6">
        <v>3</v>
      </c>
      <c r="K55" s="6">
        <v>4</v>
      </c>
      <c r="L55" s="6">
        <v>-1</v>
      </c>
      <c r="M55" s="5">
        <f>IFERROR((G55*Assumptions!$B$5 + H55*Assumptions!$B$6 + I55*Assumptions!$B$7 + J55*Assumptions!$B$8 + K55*Assumptions!$B$9 + L55*Assumptions!$B$10),"" )</f>
        <v>3.35</v>
      </c>
      <c r="N55" s="5" t="str">
        <f>IF(M55="","",IF(M55&gt;=Assumptions!$B$14,"Tier 1",IF(M55&gt;=Assumptions!$B$15,"Tier 2",IF(M55&gt;=Assumptions!$B$16,"Tier 3","Tier 4"))))</f>
        <v>Tier 2</v>
      </c>
      <c r="O55" s="5"/>
      <c r="P55" s="86" t="s">
        <v>792</v>
      </c>
    </row>
    <row r="56" spans="1:16" s="7" customFormat="1"/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  <row r="136" spans="1:1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</row>
  </sheetData>
  <autoFilter ref="A4:P55" xr:uid="{00000000-0009-0000-0000-000002000000}"/>
  <mergeCells count="2">
    <mergeCell ref="A1:P1"/>
    <mergeCell ref="A2:P2"/>
  </mergeCells>
  <conditionalFormatting sqref="M6:M55">
    <cfRule type="colorScale" priority="2">
      <colorScale>
        <cfvo type="num" val="0"/>
        <cfvo type="num" val="2.5"/>
        <cfvo type="num" val="5"/>
        <color rgb="FFFEE2E2"/>
        <color rgb="FFFEF9C3"/>
        <color rgb="FFDCFCE7"/>
      </colorScale>
    </cfRule>
  </conditionalFormatting>
  <dataValidations count="2">
    <dataValidation type="list" allowBlank="1" sqref="G6:K55" xr:uid="{00000000-0002-0000-0200-000000000000}">
      <formula1>"0,1,2,3,4,5"</formula1>
      <formula2>0</formula2>
    </dataValidation>
    <dataValidation type="list" sqref="L6:L55" xr:uid="{00000000-0002-0000-0200-000001000000}">
      <formula1>"0,-1,-2"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showGridLines="0" zoomScale="110" zoomScaleNormal="110" workbookViewId="0">
      <pane ySplit="4" topLeftCell="A6" activePane="bottomLeft" state="frozen"/>
      <selection pane="bottomLeft" activeCell="G39" sqref="G39"/>
    </sheetView>
  </sheetViews>
  <sheetFormatPr defaultColWidth="8.85546875" defaultRowHeight="15"/>
  <cols>
    <col min="1" max="1" width="35.42578125" customWidth="1"/>
    <col min="2" max="2" width="13.85546875" bestFit="1" customWidth="1"/>
    <col min="3" max="3" width="14" customWidth="1"/>
    <col min="4" max="5" width="24.28515625" bestFit="1" customWidth="1"/>
    <col min="6" max="6" width="22" customWidth="1"/>
    <col min="7" max="7" width="22.28515625" bestFit="1" customWidth="1"/>
    <col min="8" max="8" width="23.85546875" customWidth="1"/>
    <col min="9" max="10" width="20.28515625" bestFit="1" customWidth="1"/>
    <col min="11" max="12" width="22.28515625" bestFit="1" customWidth="1"/>
    <col min="13" max="13" width="20.28515625" bestFit="1" customWidth="1"/>
    <col min="14" max="14" width="6.85546875" bestFit="1" customWidth="1"/>
    <col min="15" max="15" width="9.42578125" bestFit="1" customWidth="1"/>
    <col min="16" max="16" width="99.42578125" customWidth="1"/>
  </cols>
  <sheetData>
    <row r="1" spans="1:16" s="3" customFormat="1" ht="18.95" customHeight="1">
      <c r="A1" s="164" t="s">
        <v>793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6">
      <c r="A2" s="154" t="s">
        <v>550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4" spans="1:16" ht="32.1" customHeight="1">
      <c r="A4" s="4" t="s">
        <v>2</v>
      </c>
      <c r="B4" s="4" t="s">
        <v>3</v>
      </c>
      <c r="C4" s="4" t="s">
        <v>282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J4" s="4" t="s">
        <v>557</v>
      </c>
      <c r="K4" s="4" t="s">
        <v>558</v>
      </c>
      <c r="L4" s="4" t="s">
        <v>559</v>
      </c>
      <c r="M4" s="4" t="s">
        <v>560</v>
      </c>
      <c r="N4" s="4" t="s">
        <v>7</v>
      </c>
      <c r="O4" s="4" t="s">
        <v>506</v>
      </c>
      <c r="P4" s="4" t="s">
        <v>10</v>
      </c>
    </row>
    <row r="5" spans="1:16" s="2" customFormat="1" ht="21.75" customHeight="1">
      <c r="A5" s="2" t="s">
        <v>794</v>
      </c>
    </row>
    <row r="6" spans="1:16" ht="32.1" customHeight="1">
      <c r="A6" s="5" t="s">
        <v>795</v>
      </c>
      <c r="B6" s="5" t="s">
        <v>248</v>
      </c>
      <c r="C6" s="5" t="s">
        <v>796</v>
      </c>
      <c r="D6" s="6" t="s">
        <v>719</v>
      </c>
      <c r="E6" s="6" t="s">
        <v>797</v>
      </c>
      <c r="F6" s="6" t="s">
        <v>798</v>
      </c>
      <c r="G6" s="6">
        <v>2</v>
      </c>
      <c r="H6" s="6">
        <v>3</v>
      </c>
      <c r="I6" s="6">
        <v>4</v>
      </c>
      <c r="J6" s="6">
        <v>4</v>
      </c>
      <c r="K6" s="6">
        <v>4</v>
      </c>
      <c r="L6" s="6">
        <v>-1</v>
      </c>
      <c r="M6" s="5">
        <v>3.15</v>
      </c>
      <c r="N6" s="5" t="s">
        <v>799</v>
      </c>
      <c r="O6" s="6"/>
      <c r="P6" s="6" t="s">
        <v>800</v>
      </c>
    </row>
    <row r="7" spans="1:16" ht="32.1" customHeight="1">
      <c r="A7" s="37" t="s">
        <v>801</v>
      </c>
      <c r="B7" s="5" t="s">
        <v>53</v>
      </c>
      <c r="C7" s="5" t="s">
        <v>802</v>
      </c>
      <c r="D7" s="6" t="s">
        <v>803</v>
      </c>
      <c r="E7" s="6" t="s">
        <v>804</v>
      </c>
      <c r="F7" s="6" t="s">
        <v>805</v>
      </c>
      <c r="G7" s="37">
        <v>4</v>
      </c>
      <c r="H7" s="6">
        <v>5</v>
      </c>
      <c r="I7" s="6">
        <v>4</v>
      </c>
      <c r="J7" s="6">
        <v>3</v>
      </c>
      <c r="K7" s="6">
        <v>5</v>
      </c>
      <c r="L7" s="6">
        <v>-1</v>
      </c>
      <c r="M7" s="5">
        <v>4.25</v>
      </c>
      <c r="N7" s="5" t="s">
        <v>806</v>
      </c>
      <c r="O7" s="6"/>
      <c r="P7" s="84" t="s">
        <v>807</v>
      </c>
    </row>
    <row r="8" spans="1:16" ht="32.1" customHeight="1">
      <c r="A8" s="5" t="s">
        <v>808</v>
      </c>
      <c r="B8" s="5" t="s">
        <v>39</v>
      </c>
      <c r="C8" s="5" t="s">
        <v>809</v>
      </c>
      <c r="D8" s="6" t="s">
        <v>681</v>
      </c>
      <c r="E8" s="6" t="s">
        <v>810</v>
      </c>
      <c r="F8" s="6" t="s">
        <v>683</v>
      </c>
      <c r="G8" s="6">
        <v>4</v>
      </c>
      <c r="H8" s="6">
        <v>2</v>
      </c>
      <c r="I8" s="6">
        <v>4</v>
      </c>
      <c r="J8" s="6">
        <v>3</v>
      </c>
      <c r="K8" s="6">
        <v>3</v>
      </c>
      <c r="L8" s="6">
        <v>0</v>
      </c>
      <c r="M8" s="5">
        <v>3.3</v>
      </c>
      <c r="N8" s="5" t="s">
        <v>811</v>
      </c>
      <c r="O8" s="6"/>
      <c r="P8" s="85" t="s">
        <v>812</v>
      </c>
    </row>
    <row r="9" spans="1:16" ht="32.1" customHeight="1">
      <c r="A9" s="5" t="s">
        <v>813</v>
      </c>
      <c r="B9" s="5" t="s">
        <v>708</v>
      </c>
      <c r="C9" s="5" t="s">
        <v>814</v>
      </c>
      <c r="D9" s="6" t="s">
        <v>815</v>
      </c>
      <c r="E9" s="6" t="s">
        <v>816</v>
      </c>
      <c r="F9" s="6" t="s">
        <v>817</v>
      </c>
      <c r="G9" s="6">
        <v>2</v>
      </c>
      <c r="H9" s="6">
        <v>4</v>
      </c>
      <c r="I9" s="6">
        <v>3</v>
      </c>
      <c r="J9" s="6">
        <v>3</v>
      </c>
      <c r="K9" s="6">
        <v>4</v>
      </c>
      <c r="L9" s="6">
        <v>-1</v>
      </c>
      <c r="M9" s="5">
        <v>3.05</v>
      </c>
      <c r="N9" s="5" t="s">
        <v>799</v>
      </c>
      <c r="O9" s="6"/>
      <c r="P9" s="6" t="s">
        <v>818</v>
      </c>
    </row>
    <row r="10" spans="1:16" ht="32.1" customHeight="1">
      <c r="A10" s="5" t="s">
        <v>819</v>
      </c>
      <c r="B10" s="5" t="s">
        <v>708</v>
      </c>
      <c r="C10" s="5" t="s">
        <v>814</v>
      </c>
      <c r="D10" s="6" t="s">
        <v>820</v>
      </c>
      <c r="E10" s="6" t="s">
        <v>821</v>
      </c>
      <c r="F10" s="6" t="s">
        <v>822</v>
      </c>
      <c r="G10" s="6">
        <v>2</v>
      </c>
      <c r="H10" s="6">
        <v>3</v>
      </c>
      <c r="I10" s="6">
        <v>3</v>
      </c>
      <c r="J10" s="6">
        <v>3</v>
      </c>
      <c r="K10" s="6">
        <v>3</v>
      </c>
      <c r="L10" s="6">
        <v>-1</v>
      </c>
      <c r="M10" s="5">
        <v>2.75</v>
      </c>
      <c r="N10" s="5" t="s">
        <v>799</v>
      </c>
      <c r="O10" s="6"/>
      <c r="P10" s="6" t="s">
        <v>823</v>
      </c>
    </row>
    <row r="11" spans="1:16" ht="32.1" customHeight="1">
      <c r="A11" s="37" t="s">
        <v>824</v>
      </c>
      <c r="B11" s="5" t="s">
        <v>39</v>
      </c>
      <c r="C11" s="5" t="s">
        <v>809</v>
      </c>
      <c r="D11" s="6" t="s">
        <v>35</v>
      </c>
      <c r="E11" s="6" t="s">
        <v>825</v>
      </c>
      <c r="F11" s="6" t="s">
        <v>826</v>
      </c>
      <c r="G11" s="37">
        <v>5</v>
      </c>
      <c r="H11" s="6">
        <v>4</v>
      </c>
      <c r="I11" s="6">
        <v>3</v>
      </c>
      <c r="J11" s="6">
        <v>4</v>
      </c>
      <c r="K11" s="6">
        <v>4</v>
      </c>
      <c r="L11" s="6">
        <v>-1</v>
      </c>
      <c r="M11" s="5">
        <v>4.25</v>
      </c>
      <c r="N11" s="5" t="s">
        <v>806</v>
      </c>
      <c r="O11" s="6"/>
      <c r="P11" s="6" t="s">
        <v>827</v>
      </c>
    </row>
    <row r="12" spans="1:16" ht="48" customHeight="1">
      <c r="A12" s="37" t="s">
        <v>828</v>
      </c>
      <c r="B12" s="5" t="s">
        <v>39</v>
      </c>
      <c r="C12" s="5" t="s">
        <v>809</v>
      </c>
      <c r="D12" s="6" t="s">
        <v>35</v>
      </c>
      <c r="E12" s="6" t="s">
        <v>829</v>
      </c>
      <c r="F12" s="6" t="s">
        <v>830</v>
      </c>
      <c r="G12" s="37">
        <v>5</v>
      </c>
      <c r="H12" s="6">
        <v>5</v>
      </c>
      <c r="I12" s="6">
        <v>3</v>
      </c>
      <c r="J12" s="6">
        <v>5</v>
      </c>
      <c r="K12" s="6">
        <v>5</v>
      </c>
      <c r="L12" s="6">
        <v>-1</v>
      </c>
      <c r="M12" s="5">
        <v>4.6999999999999993</v>
      </c>
      <c r="N12" s="5" t="s">
        <v>806</v>
      </c>
      <c r="O12" s="6"/>
      <c r="P12" s="6" t="s">
        <v>831</v>
      </c>
    </row>
    <row r="13" spans="1:16" ht="32.1" customHeight="1">
      <c r="A13" s="37" t="s">
        <v>163</v>
      </c>
      <c r="B13" s="5" t="s">
        <v>39</v>
      </c>
      <c r="C13" s="5" t="s">
        <v>809</v>
      </c>
      <c r="D13" s="6" t="s">
        <v>164</v>
      </c>
      <c r="E13" s="6" t="s">
        <v>832</v>
      </c>
      <c r="F13" s="6" t="s">
        <v>165</v>
      </c>
      <c r="G13" s="6">
        <v>5</v>
      </c>
      <c r="H13" s="6">
        <v>4</v>
      </c>
      <c r="I13" s="6">
        <v>3</v>
      </c>
      <c r="J13" s="6">
        <v>4</v>
      </c>
      <c r="K13" s="6">
        <v>4</v>
      </c>
      <c r="L13" s="6">
        <v>0</v>
      </c>
      <c r="M13" s="5">
        <v>4.1500000000000004</v>
      </c>
      <c r="N13" s="5" t="s">
        <v>806</v>
      </c>
      <c r="O13" s="6"/>
      <c r="P13" s="6" t="s">
        <v>833</v>
      </c>
    </row>
    <row r="14" spans="1:16" ht="32.1" customHeight="1">
      <c r="A14" s="5" t="s">
        <v>834</v>
      </c>
      <c r="B14" s="5" t="s">
        <v>65</v>
      </c>
      <c r="C14" s="5" t="s">
        <v>796</v>
      </c>
      <c r="D14" s="6" t="s">
        <v>835</v>
      </c>
      <c r="E14" s="6" t="s">
        <v>836</v>
      </c>
      <c r="F14" s="6" t="s">
        <v>837</v>
      </c>
      <c r="G14" s="6">
        <v>2</v>
      </c>
      <c r="H14" s="6">
        <v>3</v>
      </c>
      <c r="I14" s="6">
        <v>3</v>
      </c>
      <c r="J14" s="6">
        <v>5</v>
      </c>
      <c r="K14" s="6">
        <v>5</v>
      </c>
      <c r="L14" s="6">
        <v>-1</v>
      </c>
      <c r="M14" s="5">
        <v>3.15</v>
      </c>
      <c r="N14" s="5" t="s">
        <v>799</v>
      </c>
      <c r="O14" s="6"/>
      <c r="P14" s="6" t="s">
        <v>838</v>
      </c>
    </row>
    <row r="15" spans="1:16" ht="32.1" customHeight="1">
      <c r="A15" s="5" t="s">
        <v>839</v>
      </c>
      <c r="B15" s="5" t="s">
        <v>39</v>
      </c>
      <c r="C15" s="5" t="s">
        <v>809</v>
      </c>
      <c r="D15" s="6" t="s">
        <v>835</v>
      </c>
      <c r="E15" s="6" t="s">
        <v>836</v>
      </c>
      <c r="F15" s="6" t="s">
        <v>840</v>
      </c>
      <c r="G15" s="6">
        <v>2</v>
      </c>
      <c r="H15" s="6">
        <v>2</v>
      </c>
      <c r="I15" s="6">
        <v>4</v>
      </c>
      <c r="J15" s="6">
        <v>5</v>
      </c>
      <c r="K15" s="6">
        <v>5</v>
      </c>
      <c r="L15" s="6">
        <v>-1</v>
      </c>
      <c r="M15" s="5">
        <v>3.1</v>
      </c>
      <c r="N15" s="5" t="s">
        <v>799</v>
      </c>
      <c r="O15" s="6"/>
      <c r="P15" s="6" t="s">
        <v>841</v>
      </c>
    </row>
    <row r="16" spans="1:16" ht="32.1" customHeight="1">
      <c r="A16" s="5" t="s">
        <v>842</v>
      </c>
      <c r="B16" s="5" t="s">
        <v>39</v>
      </c>
      <c r="C16" s="5" t="s">
        <v>809</v>
      </c>
      <c r="D16" s="6" t="s">
        <v>843</v>
      </c>
      <c r="E16" s="6" t="s">
        <v>844</v>
      </c>
      <c r="F16" s="6" t="s">
        <v>845</v>
      </c>
      <c r="G16" s="6">
        <v>3</v>
      </c>
      <c r="H16" s="6">
        <v>2</v>
      </c>
      <c r="I16" s="6">
        <v>4</v>
      </c>
      <c r="J16" s="6">
        <v>4</v>
      </c>
      <c r="K16" s="6">
        <v>3</v>
      </c>
      <c r="L16" s="6">
        <v>0</v>
      </c>
      <c r="M16" s="5">
        <v>3.1</v>
      </c>
      <c r="N16" s="5" t="s">
        <v>799</v>
      </c>
      <c r="O16" s="6"/>
      <c r="P16" s="6" t="s">
        <v>846</v>
      </c>
    </row>
    <row r="17" spans="1:16" ht="32.1" customHeight="1">
      <c r="A17" s="5" t="s">
        <v>847</v>
      </c>
      <c r="B17" s="5" t="s">
        <v>39</v>
      </c>
      <c r="C17" s="5" t="s">
        <v>809</v>
      </c>
      <c r="D17" s="6" t="s">
        <v>848</v>
      </c>
      <c r="E17" s="6" t="s">
        <v>849</v>
      </c>
      <c r="F17" s="6" t="s">
        <v>850</v>
      </c>
      <c r="G17" s="6">
        <v>3</v>
      </c>
      <c r="H17" s="6">
        <v>5</v>
      </c>
      <c r="I17" s="6">
        <v>3</v>
      </c>
      <c r="J17" s="6">
        <v>4</v>
      </c>
      <c r="K17" s="6">
        <v>4</v>
      </c>
      <c r="L17" s="6">
        <v>-1</v>
      </c>
      <c r="M17" s="5">
        <v>3.8</v>
      </c>
      <c r="N17" s="5" t="s">
        <v>811</v>
      </c>
      <c r="O17" s="6"/>
      <c r="P17" s="6" t="s">
        <v>851</v>
      </c>
    </row>
    <row r="18" spans="1:16" ht="32.1" customHeight="1">
      <c r="A18" s="5" t="s">
        <v>852</v>
      </c>
      <c r="B18" s="5" t="s">
        <v>39</v>
      </c>
      <c r="C18" s="5" t="s">
        <v>809</v>
      </c>
      <c r="D18" s="6" t="s">
        <v>673</v>
      </c>
      <c r="E18" s="6" t="s">
        <v>853</v>
      </c>
      <c r="F18" s="6" t="s">
        <v>854</v>
      </c>
      <c r="G18" s="6">
        <v>1</v>
      </c>
      <c r="H18" s="6">
        <v>3</v>
      </c>
      <c r="I18" s="6">
        <v>4</v>
      </c>
      <c r="J18" s="6">
        <v>2</v>
      </c>
      <c r="K18" s="6">
        <v>3</v>
      </c>
      <c r="L18" s="6">
        <v>0</v>
      </c>
      <c r="M18" s="5">
        <v>2.35</v>
      </c>
      <c r="N18" s="5" t="s">
        <v>855</v>
      </c>
      <c r="O18" s="6"/>
      <c r="P18" s="6" t="s">
        <v>856</v>
      </c>
    </row>
    <row r="19" spans="1:16" ht="32.1" customHeight="1">
      <c r="A19" s="5" t="s">
        <v>857</v>
      </c>
      <c r="B19" s="5" t="s">
        <v>39</v>
      </c>
      <c r="C19" s="5" t="s">
        <v>809</v>
      </c>
      <c r="D19" s="6" t="s">
        <v>858</v>
      </c>
      <c r="E19" s="6" t="s">
        <v>859</v>
      </c>
      <c r="F19" s="6" t="s">
        <v>860</v>
      </c>
      <c r="G19" s="6">
        <v>1</v>
      </c>
      <c r="H19" s="6">
        <v>2</v>
      </c>
      <c r="I19" s="6">
        <v>4</v>
      </c>
      <c r="J19" s="6">
        <v>2</v>
      </c>
      <c r="K19" s="6">
        <v>2</v>
      </c>
      <c r="L19" s="6">
        <v>0</v>
      </c>
      <c r="M19" s="5">
        <v>2.0499999999999998</v>
      </c>
      <c r="N19" s="5" t="s">
        <v>855</v>
      </c>
      <c r="O19" s="6"/>
      <c r="P19" s="6" t="s">
        <v>861</v>
      </c>
    </row>
    <row r="20" spans="1:16" ht="32.1" customHeight="1">
      <c r="A20" s="5" t="s">
        <v>862</v>
      </c>
      <c r="B20" s="5" t="s">
        <v>39</v>
      </c>
      <c r="C20" s="5" t="s">
        <v>809</v>
      </c>
      <c r="D20" s="6" t="s">
        <v>863</v>
      </c>
      <c r="E20" s="6" t="s">
        <v>776</v>
      </c>
      <c r="F20" s="6" t="s">
        <v>864</v>
      </c>
      <c r="G20" s="6">
        <v>3</v>
      </c>
      <c r="H20" s="6">
        <v>2</v>
      </c>
      <c r="I20" s="6">
        <v>4</v>
      </c>
      <c r="J20" s="6">
        <v>3</v>
      </c>
      <c r="K20" s="6">
        <v>3</v>
      </c>
      <c r="L20" s="6">
        <v>-1</v>
      </c>
      <c r="M20" s="5">
        <v>3.05</v>
      </c>
      <c r="N20" s="5" t="s">
        <v>799</v>
      </c>
      <c r="O20" s="6"/>
      <c r="P20" s="6" t="s">
        <v>865</v>
      </c>
    </row>
    <row r="21" spans="1:16" ht="32.1" customHeight="1">
      <c r="A21" s="5" t="s">
        <v>866</v>
      </c>
      <c r="B21" s="5" t="s">
        <v>39</v>
      </c>
      <c r="C21" s="5" t="s">
        <v>809</v>
      </c>
      <c r="D21" s="6" t="s">
        <v>867</v>
      </c>
      <c r="E21" s="6" t="s">
        <v>868</v>
      </c>
      <c r="F21" s="6" t="s">
        <v>869</v>
      </c>
      <c r="G21" s="6">
        <v>5</v>
      </c>
      <c r="H21" s="6">
        <v>2</v>
      </c>
      <c r="I21" s="6">
        <v>4</v>
      </c>
      <c r="J21" s="6">
        <v>4</v>
      </c>
      <c r="K21" s="6">
        <v>3</v>
      </c>
      <c r="L21" s="6">
        <v>0</v>
      </c>
      <c r="M21" s="5">
        <v>3.8</v>
      </c>
      <c r="N21" s="5" t="s">
        <v>811</v>
      </c>
      <c r="O21" s="6"/>
      <c r="P21" s="6" t="s">
        <v>870</v>
      </c>
    </row>
    <row r="22" spans="1:16" ht="32.1" customHeight="1">
      <c r="A22" s="5" t="s">
        <v>871</v>
      </c>
      <c r="B22" s="5" t="s">
        <v>39</v>
      </c>
      <c r="C22" s="5" t="s">
        <v>809</v>
      </c>
      <c r="D22" s="6" t="s">
        <v>681</v>
      </c>
      <c r="E22" s="6" t="s">
        <v>872</v>
      </c>
      <c r="F22" s="6" t="s">
        <v>873</v>
      </c>
      <c r="G22" s="6">
        <v>4</v>
      </c>
      <c r="H22" s="6">
        <v>2</v>
      </c>
      <c r="I22" s="6">
        <v>4</v>
      </c>
      <c r="J22" s="6">
        <v>3</v>
      </c>
      <c r="K22" s="6">
        <v>3</v>
      </c>
      <c r="L22" s="6">
        <v>0</v>
      </c>
      <c r="M22" s="5">
        <v>3.3</v>
      </c>
      <c r="N22" s="5" t="s">
        <v>811</v>
      </c>
      <c r="O22" s="6"/>
      <c r="P22" s="6" t="s">
        <v>874</v>
      </c>
    </row>
    <row r="23" spans="1:16" ht="32.1" customHeight="1">
      <c r="A23" s="5" t="s">
        <v>875</v>
      </c>
      <c r="B23" s="5" t="s">
        <v>39</v>
      </c>
      <c r="C23" s="5" t="s">
        <v>809</v>
      </c>
      <c r="D23" s="6" t="s">
        <v>876</v>
      </c>
      <c r="E23" s="6" t="s">
        <v>877</v>
      </c>
      <c r="F23" s="6" t="s">
        <v>878</v>
      </c>
      <c r="G23" s="6">
        <v>3</v>
      </c>
      <c r="H23" s="6">
        <v>3</v>
      </c>
      <c r="I23" s="6">
        <v>4</v>
      </c>
      <c r="J23" s="6">
        <v>4</v>
      </c>
      <c r="K23" s="6">
        <v>4</v>
      </c>
      <c r="L23" s="6">
        <v>0</v>
      </c>
      <c r="M23" s="5">
        <v>3.4</v>
      </c>
      <c r="N23" s="5" t="s">
        <v>811</v>
      </c>
      <c r="O23" s="6"/>
      <c r="P23" s="85" t="s">
        <v>879</v>
      </c>
    </row>
    <row r="24" spans="1:16" ht="32.1" customHeight="1">
      <c r="A24" s="5" t="s">
        <v>880</v>
      </c>
      <c r="B24" s="5" t="s">
        <v>116</v>
      </c>
      <c r="C24" s="5" t="s">
        <v>809</v>
      </c>
      <c r="D24" s="6" t="s">
        <v>876</v>
      </c>
      <c r="E24" s="6" t="s">
        <v>881</v>
      </c>
      <c r="F24" s="6" t="s">
        <v>882</v>
      </c>
      <c r="G24" s="6">
        <v>3</v>
      </c>
      <c r="H24" s="6">
        <v>3</v>
      </c>
      <c r="I24" s="6">
        <v>4</v>
      </c>
      <c r="J24" s="6">
        <v>5</v>
      </c>
      <c r="K24" s="6">
        <v>4</v>
      </c>
      <c r="L24" s="6">
        <v>0</v>
      </c>
      <c r="M24" s="5">
        <v>3.55</v>
      </c>
      <c r="N24" s="5" t="s">
        <v>811</v>
      </c>
      <c r="O24" s="6"/>
      <c r="P24" s="85" t="s">
        <v>883</v>
      </c>
    </row>
    <row r="25" spans="1:16" ht="32.1" customHeight="1">
      <c r="A25" s="5" t="s">
        <v>884</v>
      </c>
      <c r="B25" s="5" t="s">
        <v>662</v>
      </c>
      <c r="C25" s="5" t="s">
        <v>885</v>
      </c>
      <c r="D25" s="6" t="s">
        <v>886</v>
      </c>
      <c r="E25" s="6" t="s">
        <v>887</v>
      </c>
      <c r="F25" s="6" t="s">
        <v>888</v>
      </c>
      <c r="G25" s="6">
        <v>3</v>
      </c>
      <c r="H25" s="6">
        <v>2</v>
      </c>
      <c r="I25" s="6">
        <v>3</v>
      </c>
      <c r="J25" s="6">
        <v>4</v>
      </c>
      <c r="K25" s="6">
        <v>3</v>
      </c>
      <c r="L25" s="6">
        <v>0</v>
      </c>
      <c r="M25" s="5">
        <v>2.9</v>
      </c>
      <c r="N25" s="5" t="s">
        <v>799</v>
      </c>
      <c r="O25" s="6"/>
      <c r="P25" s="85" t="s">
        <v>889</v>
      </c>
    </row>
    <row r="26" spans="1:16" ht="32.1" customHeight="1">
      <c r="A26" s="5" t="s">
        <v>890</v>
      </c>
      <c r="B26" s="5" t="s">
        <v>662</v>
      </c>
      <c r="C26" s="5" t="s">
        <v>885</v>
      </c>
      <c r="D26" s="6" t="s">
        <v>891</v>
      </c>
      <c r="E26" s="6" t="s">
        <v>892</v>
      </c>
      <c r="F26" s="6" t="s">
        <v>893</v>
      </c>
      <c r="G26" s="6">
        <v>2</v>
      </c>
      <c r="H26" s="6">
        <v>2</v>
      </c>
      <c r="I26" s="6">
        <v>3</v>
      </c>
      <c r="J26" s="6">
        <v>3</v>
      </c>
      <c r="K26" s="6">
        <v>2</v>
      </c>
      <c r="L26" s="6">
        <v>0</v>
      </c>
      <c r="M26" s="5">
        <v>2.35</v>
      </c>
      <c r="N26" s="5" t="s">
        <v>855</v>
      </c>
      <c r="O26" s="6"/>
      <c r="P26" s="6" t="s">
        <v>894</v>
      </c>
    </row>
    <row r="27" spans="1:16" ht="32.1" customHeight="1">
      <c r="A27" s="5" t="s">
        <v>895</v>
      </c>
      <c r="B27" s="5" t="s">
        <v>226</v>
      </c>
      <c r="C27" s="5" t="s">
        <v>885</v>
      </c>
      <c r="D27" s="6" t="s">
        <v>896</v>
      </c>
      <c r="E27" s="6" t="s">
        <v>897</v>
      </c>
      <c r="F27" s="6" t="s">
        <v>898</v>
      </c>
      <c r="G27" s="6">
        <v>4</v>
      </c>
      <c r="H27" s="6">
        <v>2</v>
      </c>
      <c r="I27" s="6">
        <v>3</v>
      </c>
      <c r="J27" s="6">
        <v>4</v>
      </c>
      <c r="K27" s="6">
        <v>3</v>
      </c>
      <c r="L27" s="6">
        <v>-1</v>
      </c>
      <c r="M27" s="5">
        <v>3.35</v>
      </c>
      <c r="N27" s="5" t="s">
        <v>811</v>
      </c>
      <c r="O27" s="6"/>
      <c r="P27" s="6" t="s">
        <v>899</v>
      </c>
    </row>
    <row r="28" spans="1:16" ht="32.1" customHeight="1">
      <c r="A28" s="5" t="s">
        <v>900</v>
      </c>
      <c r="B28" s="5" t="s">
        <v>226</v>
      </c>
      <c r="C28" s="5" t="s">
        <v>885</v>
      </c>
      <c r="D28" s="6" t="s">
        <v>901</v>
      </c>
      <c r="E28" s="6" t="s">
        <v>902</v>
      </c>
      <c r="F28" s="6" t="s">
        <v>903</v>
      </c>
      <c r="G28" s="6">
        <v>3</v>
      </c>
      <c r="H28" s="6">
        <v>2</v>
      </c>
      <c r="I28" s="6">
        <v>3</v>
      </c>
      <c r="J28" s="6">
        <v>4</v>
      </c>
      <c r="K28" s="6">
        <v>3</v>
      </c>
      <c r="L28" s="6">
        <v>-1</v>
      </c>
      <c r="M28" s="5">
        <v>3</v>
      </c>
      <c r="N28" s="5" t="s">
        <v>799</v>
      </c>
      <c r="O28" s="6"/>
      <c r="P28" s="6" t="s">
        <v>904</v>
      </c>
    </row>
    <row r="29" spans="1:16" ht="32.1" customHeight="1">
      <c r="A29" s="37" t="s">
        <v>225</v>
      </c>
      <c r="B29" s="5" t="s">
        <v>226</v>
      </c>
      <c r="C29" s="5" t="s">
        <v>885</v>
      </c>
      <c r="D29" s="6" t="s">
        <v>227</v>
      </c>
      <c r="E29" s="6" t="s">
        <v>905</v>
      </c>
      <c r="F29" s="37" t="s">
        <v>228</v>
      </c>
      <c r="G29" s="37">
        <v>5</v>
      </c>
      <c r="H29" s="6">
        <v>2</v>
      </c>
      <c r="I29" s="6">
        <v>3</v>
      </c>
      <c r="J29" s="6">
        <v>5</v>
      </c>
      <c r="K29" s="6">
        <v>4</v>
      </c>
      <c r="L29" s="6">
        <v>0</v>
      </c>
      <c r="M29" s="5">
        <v>3.8</v>
      </c>
      <c r="N29" s="5" t="s">
        <v>811</v>
      </c>
      <c r="O29" s="6"/>
      <c r="P29" s="6" t="s">
        <v>906</v>
      </c>
    </row>
    <row r="30" spans="1:16" ht="32.1" customHeight="1">
      <c r="A30" s="37" t="s">
        <v>220</v>
      </c>
      <c r="B30" s="5" t="s">
        <v>221</v>
      </c>
      <c r="C30" s="5" t="s">
        <v>802</v>
      </c>
      <c r="D30" s="6" t="s">
        <v>222</v>
      </c>
      <c r="E30" s="6" t="s">
        <v>907</v>
      </c>
      <c r="F30" s="37" t="s">
        <v>908</v>
      </c>
      <c r="G30" s="37">
        <v>5</v>
      </c>
      <c r="H30" s="6">
        <v>3</v>
      </c>
      <c r="I30" s="6">
        <v>3</v>
      </c>
      <c r="J30" s="6">
        <v>4</v>
      </c>
      <c r="K30" s="6">
        <v>3</v>
      </c>
      <c r="L30" s="6">
        <v>0</v>
      </c>
      <c r="M30" s="5">
        <v>3.85</v>
      </c>
      <c r="N30" s="5" t="s">
        <v>811</v>
      </c>
      <c r="O30" s="6"/>
      <c r="P30" s="6" t="s">
        <v>909</v>
      </c>
    </row>
    <row r="31" spans="1:16" ht="32.1" customHeight="1">
      <c r="A31" s="37" t="s">
        <v>910</v>
      </c>
      <c r="B31" s="5" t="s">
        <v>16</v>
      </c>
      <c r="C31" s="5" t="s">
        <v>802</v>
      </c>
      <c r="D31" s="6" t="s">
        <v>911</v>
      </c>
      <c r="E31" s="6" t="s">
        <v>912</v>
      </c>
      <c r="F31" s="37" t="s">
        <v>913</v>
      </c>
      <c r="G31" s="37">
        <v>5</v>
      </c>
      <c r="H31" s="6">
        <v>2</v>
      </c>
      <c r="I31" s="6">
        <v>3</v>
      </c>
      <c r="J31" s="6">
        <v>4</v>
      </c>
      <c r="K31" s="6">
        <v>3</v>
      </c>
      <c r="L31" s="6">
        <v>0</v>
      </c>
      <c r="M31" s="5">
        <v>3.6</v>
      </c>
      <c r="N31" s="5" t="s">
        <v>811</v>
      </c>
      <c r="O31" s="6"/>
      <c r="P31" s="6" t="s">
        <v>914</v>
      </c>
    </row>
    <row r="32" spans="1:16" ht="32.1" customHeight="1">
      <c r="A32" s="5" t="s">
        <v>915</v>
      </c>
      <c r="B32" s="5" t="s">
        <v>916</v>
      </c>
      <c r="C32" s="5" t="s">
        <v>802</v>
      </c>
      <c r="D32" s="6" t="s">
        <v>917</v>
      </c>
      <c r="E32" s="6" t="s">
        <v>918</v>
      </c>
      <c r="F32" s="6" t="s">
        <v>898</v>
      </c>
      <c r="G32" s="6">
        <v>4</v>
      </c>
      <c r="H32" s="6">
        <v>2</v>
      </c>
      <c r="I32" s="6">
        <v>2</v>
      </c>
      <c r="J32" s="6">
        <v>3</v>
      </c>
      <c r="K32" s="6">
        <v>3</v>
      </c>
      <c r="L32" s="6">
        <v>-2</v>
      </c>
      <c r="M32" s="5">
        <v>3.1</v>
      </c>
      <c r="N32" s="5" t="s">
        <v>799</v>
      </c>
      <c r="O32" s="6"/>
      <c r="P32" s="85" t="s">
        <v>919</v>
      </c>
    </row>
    <row r="33" spans="1:16" ht="32.1" customHeight="1">
      <c r="A33" s="37" t="s">
        <v>920</v>
      </c>
      <c r="B33" s="5" t="s">
        <v>921</v>
      </c>
      <c r="C33" s="5" t="s">
        <v>802</v>
      </c>
      <c r="D33" s="6" t="s">
        <v>669</v>
      </c>
      <c r="E33" s="6" t="s">
        <v>922</v>
      </c>
      <c r="F33" s="6" t="s">
        <v>923</v>
      </c>
      <c r="G33" s="37">
        <v>4</v>
      </c>
      <c r="H33" s="6">
        <v>2</v>
      </c>
      <c r="I33" s="6">
        <v>2</v>
      </c>
      <c r="J33" s="6">
        <v>4</v>
      </c>
      <c r="K33" s="6">
        <v>3</v>
      </c>
      <c r="L33" s="6">
        <v>-1</v>
      </c>
      <c r="M33" s="5">
        <v>3.15</v>
      </c>
      <c r="N33" s="5" t="s">
        <v>799</v>
      </c>
      <c r="O33" s="6"/>
      <c r="P33" s="85" t="s">
        <v>924</v>
      </c>
    </row>
    <row r="34" spans="1:16" ht="32.1" customHeight="1">
      <c r="A34" s="5" t="s">
        <v>925</v>
      </c>
      <c r="B34" s="5" t="s">
        <v>255</v>
      </c>
      <c r="C34" s="5" t="s">
        <v>814</v>
      </c>
      <c r="D34" s="6" t="s">
        <v>926</v>
      </c>
      <c r="E34" s="6" t="s">
        <v>927</v>
      </c>
      <c r="F34" s="6" t="s">
        <v>928</v>
      </c>
      <c r="G34" s="6">
        <v>5</v>
      </c>
      <c r="H34" s="6">
        <v>3</v>
      </c>
      <c r="I34" s="6">
        <v>2</v>
      </c>
      <c r="J34" s="6">
        <v>4</v>
      </c>
      <c r="K34" s="6">
        <v>3</v>
      </c>
      <c r="L34" s="6">
        <v>-1</v>
      </c>
      <c r="M34" s="5">
        <v>3.75</v>
      </c>
      <c r="N34" s="5" t="s">
        <v>811</v>
      </c>
      <c r="O34" s="6"/>
      <c r="P34" s="6" t="s">
        <v>929</v>
      </c>
    </row>
    <row r="35" spans="1:16" ht="32.1" customHeight="1">
      <c r="A35" s="5" t="s">
        <v>930</v>
      </c>
      <c r="B35" s="5" t="s">
        <v>931</v>
      </c>
      <c r="C35" s="5" t="s">
        <v>802</v>
      </c>
      <c r="D35" s="6" t="s">
        <v>751</v>
      </c>
      <c r="E35" s="6" t="s">
        <v>932</v>
      </c>
      <c r="F35" s="6" t="s">
        <v>753</v>
      </c>
      <c r="G35" s="6">
        <v>4</v>
      </c>
      <c r="H35" s="6">
        <v>3</v>
      </c>
      <c r="I35" s="6">
        <v>2</v>
      </c>
      <c r="J35" s="6">
        <v>3</v>
      </c>
      <c r="K35" s="6">
        <v>3</v>
      </c>
      <c r="L35" s="6">
        <v>-1</v>
      </c>
      <c r="M35" s="5">
        <v>3.25</v>
      </c>
      <c r="N35" s="5" t="s">
        <v>811</v>
      </c>
      <c r="O35" s="6"/>
      <c r="P35" s="6" t="s">
        <v>933</v>
      </c>
    </row>
    <row r="36" spans="1:16" ht="32.1" customHeight="1">
      <c r="A36" s="5" t="s">
        <v>934</v>
      </c>
      <c r="B36" s="5" t="s">
        <v>686</v>
      </c>
      <c r="C36" s="5" t="s">
        <v>814</v>
      </c>
      <c r="D36" s="6" t="s">
        <v>935</v>
      </c>
      <c r="E36" s="6" t="s">
        <v>936</v>
      </c>
      <c r="F36" s="6" t="s">
        <v>937</v>
      </c>
      <c r="G36" s="6">
        <v>3</v>
      </c>
      <c r="H36" s="6">
        <v>4</v>
      </c>
      <c r="I36" s="6">
        <v>2</v>
      </c>
      <c r="J36" s="6">
        <v>4</v>
      </c>
      <c r="K36" s="6">
        <v>4</v>
      </c>
      <c r="L36" s="6">
        <v>-1</v>
      </c>
      <c r="M36" s="5">
        <v>3.35</v>
      </c>
      <c r="N36" s="5" t="s">
        <v>811</v>
      </c>
      <c r="O36" s="6"/>
      <c r="P36" s="6" t="s">
        <v>938</v>
      </c>
    </row>
    <row r="37" spans="1:16" ht="32.1" customHeight="1">
      <c r="A37" s="5" t="s">
        <v>939</v>
      </c>
      <c r="B37" s="5" t="s">
        <v>708</v>
      </c>
      <c r="C37" s="5" t="s">
        <v>814</v>
      </c>
      <c r="D37" s="6" t="s">
        <v>940</v>
      </c>
      <c r="E37" s="6" t="s">
        <v>941</v>
      </c>
      <c r="F37" s="6" t="s">
        <v>942</v>
      </c>
      <c r="G37" s="6">
        <v>3</v>
      </c>
      <c r="H37" s="6">
        <v>4</v>
      </c>
      <c r="I37" s="6">
        <v>3</v>
      </c>
      <c r="J37" s="6">
        <v>3</v>
      </c>
      <c r="K37" s="6">
        <v>3</v>
      </c>
      <c r="L37" s="6">
        <v>-1</v>
      </c>
      <c r="M37" s="5">
        <v>3.35</v>
      </c>
      <c r="N37" s="5" t="s">
        <v>811</v>
      </c>
      <c r="O37" s="6"/>
      <c r="P37" s="6" t="s">
        <v>943</v>
      </c>
    </row>
    <row r="38" spans="1:16" ht="32.1" customHeight="1">
      <c r="A38" s="5" t="s">
        <v>944</v>
      </c>
      <c r="B38" s="5" t="s">
        <v>708</v>
      </c>
      <c r="C38" s="5" t="s">
        <v>814</v>
      </c>
      <c r="D38" s="6" t="s">
        <v>940</v>
      </c>
      <c r="E38" s="6" t="s">
        <v>945</v>
      </c>
      <c r="F38" s="6" t="s">
        <v>942</v>
      </c>
      <c r="G38" s="6">
        <v>3</v>
      </c>
      <c r="H38" s="6">
        <v>4</v>
      </c>
      <c r="I38" s="6">
        <v>3</v>
      </c>
      <c r="J38" s="6">
        <v>3</v>
      </c>
      <c r="K38" s="6">
        <v>3</v>
      </c>
      <c r="L38" s="6">
        <v>-1</v>
      </c>
      <c r="M38" s="5">
        <v>3.35</v>
      </c>
      <c r="N38" s="5" t="s">
        <v>811</v>
      </c>
      <c r="O38" s="6"/>
      <c r="P38" s="6" t="s">
        <v>946</v>
      </c>
    </row>
    <row r="39" spans="1:16" ht="32.1" customHeight="1">
      <c r="A39" s="5" t="s">
        <v>947</v>
      </c>
      <c r="B39" s="5" t="s">
        <v>948</v>
      </c>
      <c r="C39" s="5" t="s">
        <v>802</v>
      </c>
      <c r="D39" s="6" t="s">
        <v>949</v>
      </c>
      <c r="E39" s="6" t="s">
        <v>950</v>
      </c>
      <c r="F39" s="6" t="s">
        <v>951</v>
      </c>
      <c r="G39" s="6">
        <v>5</v>
      </c>
      <c r="H39" s="6">
        <v>5</v>
      </c>
      <c r="I39" s="6">
        <v>4</v>
      </c>
      <c r="J39" s="6">
        <v>5</v>
      </c>
      <c r="K39" s="6">
        <v>5</v>
      </c>
      <c r="L39" s="6">
        <v>0</v>
      </c>
      <c r="M39" s="5">
        <v>4.8</v>
      </c>
      <c r="N39" s="5" t="s">
        <v>806</v>
      </c>
      <c r="O39" s="6"/>
      <c r="P39" s="6" t="s">
        <v>952</v>
      </c>
    </row>
    <row r="40" spans="1:16" ht="32.1" customHeight="1">
      <c r="A40" s="5" t="s">
        <v>953</v>
      </c>
      <c r="B40" s="5" t="s">
        <v>948</v>
      </c>
      <c r="C40" s="5" t="s">
        <v>802</v>
      </c>
      <c r="D40" s="6" t="s">
        <v>949</v>
      </c>
      <c r="E40" s="6" t="s">
        <v>954</v>
      </c>
      <c r="F40" s="6" t="s">
        <v>951</v>
      </c>
      <c r="G40" s="6">
        <v>5</v>
      </c>
      <c r="H40" s="6">
        <v>5</v>
      </c>
      <c r="I40" s="6">
        <v>4</v>
      </c>
      <c r="J40" s="6">
        <v>4</v>
      </c>
      <c r="K40" s="6">
        <v>4</v>
      </c>
      <c r="L40" s="6">
        <v>0</v>
      </c>
      <c r="M40" s="5">
        <v>4.5999999999999996</v>
      </c>
      <c r="N40" s="5" t="s">
        <v>806</v>
      </c>
      <c r="O40" s="6"/>
      <c r="P40" s="6" t="s">
        <v>955</v>
      </c>
    </row>
    <row r="41" spans="1:16" ht="32.1" customHeight="1">
      <c r="A41" s="5" t="s">
        <v>956</v>
      </c>
      <c r="B41" s="5" t="s">
        <v>948</v>
      </c>
      <c r="C41" s="5" t="s">
        <v>802</v>
      </c>
      <c r="D41" s="6" t="s">
        <v>957</v>
      </c>
      <c r="E41" s="6" t="s">
        <v>958</v>
      </c>
      <c r="F41" s="6" t="s">
        <v>959</v>
      </c>
      <c r="G41" s="6">
        <v>5</v>
      </c>
      <c r="H41" s="6">
        <v>5</v>
      </c>
      <c r="I41" s="6">
        <v>4</v>
      </c>
      <c r="J41" s="6">
        <v>4</v>
      </c>
      <c r="K41" s="6">
        <v>4</v>
      </c>
      <c r="L41" s="6">
        <v>0</v>
      </c>
      <c r="M41" s="5">
        <v>4.5999999999999996</v>
      </c>
      <c r="N41" s="5" t="s">
        <v>806</v>
      </c>
      <c r="O41" s="6"/>
      <c r="P41" s="6" t="s">
        <v>960</v>
      </c>
    </row>
    <row r="42" spans="1:16" ht="32.1" customHeight="1">
      <c r="A42" s="5" t="s">
        <v>961</v>
      </c>
      <c r="B42" s="5" t="s">
        <v>948</v>
      </c>
      <c r="C42" s="5" t="s">
        <v>802</v>
      </c>
      <c r="D42" s="6" t="s">
        <v>962</v>
      </c>
      <c r="E42" s="6" t="s">
        <v>963</v>
      </c>
      <c r="F42" s="6" t="s">
        <v>964</v>
      </c>
      <c r="G42" s="6">
        <v>5</v>
      </c>
      <c r="H42" s="6">
        <v>4</v>
      </c>
      <c r="I42" s="6">
        <v>3</v>
      </c>
      <c r="J42" s="6">
        <v>4</v>
      </c>
      <c r="K42" s="6">
        <v>3</v>
      </c>
      <c r="L42" s="6">
        <v>0</v>
      </c>
      <c r="M42" s="5">
        <v>4.1000000000000014</v>
      </c>
      <c r="N42" s="5" t="s">
        <v>806</v>
      </c>
      <c r="O42" s="6"/>
      <c r="P42" s="6" t="s">
        <v>965</v>
      </c>
    </row>
    <row r="43" spans="1:16" ht="32.1" customHeight="1">
      <c r="A43" s="5" t="s">
        <v>966</v>
      </c>
      <c r="B43" s="5" t="s">
        <v>116</v>
      </c>
      <c r="C43" s="5" t="s">
        <v>809</v>
      </c>
      <c r="D43" s="6" t="s">
        <v>967</v>
      </c>
      <c r="E43" s="6" t="s">
        <v>968</v>
      </c>
      <c r="F43" s="6" t="s">
        <v>969</v>
      </c>
      <c r="G43" s="6">
        <v>5</v>
      </c>
      <c r="H43" s="6">
        <v>5</v>
      </c>
      <c r="I43" s="6">
        <v>4</v>
      </c>
      <c r="J43" s="6">
        <v>4</v>
      </c>
      <c r="K43" s="6">
        <v>3</v>
      </c>
      <c r="L43" s="6">
        <v>0</v>
      </c>
      <c r="M43" s="5">
        <v>4.55</v>
      </c>
      <c r="N43" s="5" t="s">
        <v>806</v>
      </c>
      <c r="O43" s="6"/>
      <c r="P43" s="6" t="s">
        <v>970</v>
      </c>
    </row>
    <row r="44" spans="1:16" ht="32.1" customHeight="1">
      <c r="A44" s="37" t="s">
        <v>242</v>
      </c>
      <c r="B44" s="5" t="s">
        <v>243</v>
      </c>
      <c r="C44" s="5" t="s">
        <v>802</v>
      </c>
      <c r="D44" s="6" t="s">
        <v>244</v>
      </c>
      <c r="E44" s="6" t="s">
        <v>971</v>
      </c>
      <c r="F44" s="6" t="s">
        <v>972</v>
      </c>
      <c r="G44" s="37">
        <v>3</v>
      </c>
      <c r="H44" s="6">
        <v>4</v>
      </c>
      <c r="I44" s="6">
        <v>5</v>
      </c>
      <c r="J44" s="6">
        <v>4</v>
      </c>
      <c r="K44" s="6">
        <v>3</v>
      </c>
      <c r="L44" s="6">
        <v>0</v>
      </c>
      <c r="M44" s="5">
        <v>3.8</v>
      </c>
      <c r="N44" s="5" t="s">
        <v>811</v>
      </c>
      <c r="O44" s="6"/>
      <c r="P44" s="6" t="s">
        <v>973</v>
      </c>
    </row>
    <row r="45" spans="1:16" ht="32.1" customHeight="1">
      <c r="A45" s="37" t="s">
        <v>974</v>
      </c>
      <c r="B45" s="5" t="s">
        <v>34</v>
      </c>
      <c r="C45" s="5" t="s">
        <v>802</v>
      </c>
      <c r="D45" s="6" t="s">
        <v>975</v>
      </c>
      <c r="E45" s="6" t="s">
        <v>976</v>
      </c>
      <c r="F45" s="6" t="s">
        <v>977</v>
      </c>
      <c r="G45" s="37">
        <v>3</v>
      </c>
      <c r="H45" s="6">
        <v>4</v>
      </c>
      <c r="I45" s="6">
        <v>4</v>
      </c>
      <c r="J45" s="6">
        <v>4</v>
      </c>
      <c r="K45" s="6">
        <v>4</v>
      </c>
      <c r="L45" s="6">
        <v>0</v>
      </c>
      <c r="M45" s="5">
        <v>3.65</v>
      </c>
      <c r="N45" s="5" t="s">
        <v>811</v>
      </c>
      <c r="O45" s="6"/>
      <c r="P45" s="6" t="s">
        <v>978</v>
      </c>
    </row>
    <row r="46" spans="1:16" ht="32.1" customHeight="1">
      <c r="A46" s="37" t="s">
        <v>38</v>
      </c>
      <c r="B46" s="5" t="s">
        <v>39</v>
      </c>
      <c r="C46" s="5" t="s">
        <v>809</v>
      </c>
      <c r="D46" s="6" t="s">
        <v>40</v>
      </c>
      <c r="E46" s="6" t="s">
        <v>979</v>
      </c>
      <c r="F46" s="6" t="s">
        <v>41</v>
      </c>
      <c r="G46" s="37">
        <v>4</v>
      </c>
      <c r="H46" s="6">
        <v>5</v>
      </c>
      <c r="I46" s="6">
        <v>4</v>
      </c>
      <c r="J46" s="6">
        <v>5</v>
      </c>
      <c r="K46" s="6">
        <v>5</v>
      </c>
      <c r="L46" s="6">
        <v>0</v>
      </c>
      <c r="M46" s="5">
        <v>4.45</v>
      </c>
      <c r="N46" s="5" t="s">
        <v>806</v>
      </c>
      <c r="O46" s="6"/>
      <c r="P46" s="6" t="s">
        <v>980</v>
      </c>
    </row>
    <row r="47" spans="1:16" ht="32.1" customHeight="1">
      <c r="A47" s="37" t="s">
        <v>152</v>
      </c>
      <c r="B47" s="5" t="s">
        <v>39</v>
      </c>
      <c r="C47" s="5" t="s">
        <v>809</v>
      </c>
      <c r="D47" s="6" t="s">
        <v>981</v>
      </c>
      <c r="E47" s="6" t="s">
        <v>982</v>
      </c>
      <c r="F47" s="6" t="s">
        <v>983</v>
      </c>
      <c r="G47" s="37">
        <v>4</v>
      </c>
      <c r="H47" s="6">
        <v>5</v>
      </c>
      <c r="I47" s="6">
        <v>4</v>
      </c>
      <c r="J47" s="6">
        <v>4</v>
      </c>
      <c r="K47" s="6">
        <v>4</v>
      </c>
      <c r="L47" s="6">
        <v>0</v>
      </c>
      <c r="M47" s="5">
        <v>4.25</v>
      </c>
      <c r="N47" s="5" t="s">
        <v>806</v>
      </c>
      <c r="O47" s="6"/>
      <c r="P47" s="6" t="s">
        <v>984</v>
      </c>
    </row>
    <row r="48" spans="1:16" ht="32.1" customHeight="1">
      <c r="A48" s="37" t="s">
        <v>89</v>
      </c>
      <c r="B48" s="5" t="s">
        <v>90</v>
      </c>
      <c r="C48" s="5" t="s">
        <v>985</v>
      </c>
      <c r="D48" s="6" t="s">
        <v>986</v>
      </c>
      <c r="E48" s="6" t="s">
        <v>987</v>
      </c>
      <c r="F48" s="6" t="s">
        <v>988</v>
      </c>
      <c r="G48" s="37">
        <v>4</v>
      </c>
      <c r="H48" s="6">
        <v>5</v>
      </c>
      <c r="I48" s="6">
        <v>5</v>
      </c>
      <c r="J48" s="6">
        <v>4</v>
      </c>
      <c r="K48" s="6">
        <v>5</v>
      </c>
      <c r="L48" s="6">
        <v>0</v>
      </c>
      <c r="M48" s="5">
        <v>4.5</v>
      </c>
      <c r="N48" s="5" t="s">
        <v>806</v>
      </c>
      <c r="O48" s="6"/>
      <c r="P48" s="6" t="s">
        <v>989</v>
      </c>
    </row>
    <row r="49" spans="1:16" ht="32.1" customHeight="1">
      <c r="A49" s="37" t="s">
        <v>990</v>
      </c>
      <c r="B49" s="5" t="s">
        <v>90</v>
      </c>
      <c r="C49" s="5" t="s">
        <v>985</v>
      </c>
      <c r="D49" s="6" t="s">
        <v>44</v>
      </c>
      <c r="E49" s="6" t="s">
        <v>991</v>
      </c>
      <c r="F49" s="6" t="s">
        <v>95</v>
      </c>
      <c r="G49" s="37">
        <v>4</v>
      </c>
      <c r="H49" s="6">
        <v>5</v>
      </c>
      <c r="I49" s="6">
        <v>5</v>
      </c>
      <c r="J49" s="6">
        <v>3</v>
      </c>
      <c r="K49" s="6">
        <v>4</v>
      </c>
      <c r="L49" s="6">
        <v>0</v>
      </c>
      <c r="M49" s="5">
        <v>4.3</v>
      </c>
      <c r="N49" s="5" t="s">
        <v>806</v>
      </c>
      <c r="O49" s="6"/>
      <c r="P49" s="6" t="s">
        <v>992</v>
      </c>
    </row>
    <row r="50" spans="1:16" ht="48" customHeight="1">
      <c r="A50" s="37" t="s">
        <v>258</v>
      </c>
      <c r="B50" s="5" t="s">
        <v>259</v>
      </c>
      <c r="C50" s="5" t="s">
        <v>802</v>
      </c>
      <c r="D50" s="6" t="s">
        <v>44</v>
      </c>
      <c r="E50" s="6" t="s">
        <v>993</v>
      </c>
      <c r="F50" s="6" t="s">
        <v>994</v>
      </c>
      <c r="G50" s="37">
        <v>5</v>
      </c>
      <c r="H50" s="6">
        <v>5</v>
      </c>
      <c r="I50" s="6">
        <v>5</v>
      </c>
      <c r="J50" s="6">
        <v>4</v>
      </c>
      <c r="K50" s="6">
        <v>4</v>
      </c>
      <c r="L50" s="6">
        <v>0</v>
      </c>
      <c r="M50" s="5">
        <v>4.8</v>
      </c>
      <c r="N50" s="5" t="s">
        <v>806</v>
      </c>
      <c r="O50" s="6"/>
      <c r="P50" s="6" t="s">
        <v>995</v>
      </c>
    </row>
    <row r="51" spans="1:16" ht="32.1" customHeight="1">
      <c r="A51" s="37" t="s">
        <v>262</v>
      </c>
      <c r="B51" s="5" t="s">
        <v>90</v>
      </c>
      <c r="C51" s="5" t="s">
        <v>985</v>
      </c>
      <c r="D51" s="6" t="s">
        <v>263</v>
      </c>
      <c r="E51" s="6" t="s">
        <v>996</v>
      </c>
      <c r="F51" s="6" t="s">
        <v>264</v>
      </c>
      <c r="G51" s="37">
        <v>4</v>
      </c>
      <c r="H51" s="6">
        <v>5</v>
      </c>
      <c r="I51" s="6">
        <v>5</v>
      </c>
      <c r="J51" s="6">
        <v>3</v>
      </c>
      <c r="K51" s="6">
        <v>3</v>
      </c>
      <c r="L51" s="6">
        <v>0</v>
      </c>
      <c r="M51" s="5">
        <v>4.25</v>
      </c>
      <c r="N51" s="5" t="s">
        <v>806</v>
      </c>
      <c r="O51" s="6"/>
      <c r="P51" s="6" t="s">
        <v>997</v>
      </c>
    </row>
    <row r="52" spans="1:16" ht="32.1" customHeight="1">
      <c r="A52" s="37" t="s">
        <v>56</v>
      </c>
      <c r="B52" s="5" t="s">
        <v>34</v>
      </c>
      <c r="C52" s="5" t="s">
        <v>802</v>
      </c>
      <c r="D52" s="6" t="s">
        <v>998</v>
      </c>
      <c r="E52" s="6" t="s">
        <v>999</v>
      </c>
      <c r="F52" s="6" t="s">
        <v>57</v>
      </c>
      <c r="G52" s="37">
        <v>4</v>
      </c>
      <c r="H52" s="6">
        <v>4</v>
      </c>
      <c r="I52" s="6">
        <v>4</v>
      </c>
      <c r="J52" s="6">
        <v>3</v>
      </c>
      <c r="K52" s="6">
        <v>3</v>
      </c>
      <c r="L52" s="6">
        <v>0</v>
      </c>
      <c r="M52" s="5">
        <v>3.8</v>
      </c>
      <c r="N52" s="5" t="s">
        <v>811</v>
      </c>
      <c r="O52" s="6"/>
      <c r="P52" s="6" t="s">
        <v>1000</v>
      </c>
    </row>
    <row r="53" spans="1:16" ht="32.1" customHeight="1">
      <c r="A53" s="37" t="s">
        <v>43</v>
      </c>
      <c r="B53" s="5" t="s">
        <v>39</v>
      </c>
      <c r="C53" s="5" t="s">
        <v>809</v>
      </c>
      <c r="D53" s="6" t="s">
        <v>44</v>
      </c>
      <c r="E53" s="6" t="s">
        <v>1001</v>
      </c>
      <c r="F53" s="6" t="s">
        <v>45</v>
      </c>
      <c r="G53" s="37">
        <v>5</v>
      </c>
      <c r="H53" s="6">
        <v>4</v>
      </c>
      <c r="I53" s="6">
        <v>3</v>
      </c>
      <c r="J53" s="6">
        <v>4</v>
      </c>
      <c r="K53" s="6">
        <v>4</v>
      </c>
      <c r="L53" s="6">
        <v>0</v>
      </c>
      <c r="M53" s="5">
        <v>4.1500000000000004</v>
      </c>
      <c r="N53" s="5" t="s">
        <v>806</v>
      </c>
      <c r="O53" s="6"/>
      <c r="P53" s="6" t="s">
        <v>1002</v>
      </c>
    </row>
    <row r="54" spans="1:16" ht="32.1" customHeight="1">
      <c r="A54" s="37" t="s">
        <v>159</v>
      </c>
      <c r="B54" s="5" t="s">
        <v>39</v>
      </c>
      <c r="C54" s="5" t="s">
        <v>809</v>
      </c>
      <c r="D54" s="6" t="s">
        <v>160</v>
      </c>
      <c r="E54" s="6" t="s">
        <v>1003</v>
      </c>
      <c r="F54" s="6" t="s">
        <v>161</v>
      </c>
      <c r="G54" s="37">
        <v>4</v>
      </c>
      <c r="H54" s="6">
        <v>5</v>
      </c>
      <c r="I54" s="6">
        <v>4</v>
      </c>
      <c r="J54" s="6">
        <v>4</v>
      </c>
      <c r="K54" s="6">
        <v>4</v>
      </c>
      <c r="L54" s="6">
        <v>0</v>
      </c>
      <c r="M54" s="5">
        <v>4.25</v>
      </c>
      <c r="N54" s="5" t="s">
        <v>806</v>
      </c>
      <c r="O54" s="39"/>
      <c r="P54" s="39" t="s">
        <v>1004</v>
      </c>
    </row>
    <row r="55" spans="1:16" s="7" customFormat="1" ht="32.1" customHeight="1">
      <c r="A55" s="37" t="s">
        <v>1005</v>
      </c>
      <c r="B55" s="5" t="s">
        <v>39</v>
      </c>
      <c r="C55" s="5" t="s">
        <v>809</v>
      </c>
      <c r="D55" s="6" t="s">
        <v>1006</v>
      </c>
      <c r="E55" s="6" t="s">
        <v>1007</v>
      </c>
      <c r="F55" s="6" t="s">
        <v>1008</v>
      </c>
      <c r="G55" s="37">
        <v>3</v>
      </c>
      <c r="H55" s="6">
        <v>5</v>
      </c>
      <c r="I55" s="6">
        <v>4</v>
      </c>
      <c r="J55" s="6">
        <v>3</v>
      </c>
      <c r="K55" s="6">
        <v>3</v>
      </c>
      <c r="L55" s="6">
        <v>0</v>
      </c>
      <c r="M55" s="5">
        <v>3.7</v>
      </c>
      <c r="N55" s="5" t="s">
        <v>811</v>
      </c>
      <c r="O55" s="39"/>
      <c r="P55" s="39" t="s">
        <v>1009</v>
      </c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</sheetData>
  <autoFilter ref="A4:P54" xr:uid="{00000000-0009-0000-0000-000003000000}"/>
  <mergeCells count="2">
    <mergeCell ref="A1:P1"/>
    <mergeCell ref="A2:P2"/>
  </mergeCells>
  <conditionalFormatting sqref="M6:M55">
    <cfRule type="colorScale" priority="1">
      <colorScale>
        <cfvo type="num" val="0"/>
        <cfvo type="num" val="2.5"/>
        <cfvo type="num" val="5"/>
        <color rgb="FFFEE2E2"/>
        <color rgb="FFFEF9C3"/>
        <color rgb="FFDCFCE7"/>
      </colorScale>
    </cfRule>
  </conditionalFormatting>
  <dataValidations count="2">
    <dataValidation type="list" sqref="L6:L54" xr:uid="{00000000-0002-0000-0300-000000000000}">
      <formula1>"0,-1,-2"</formula1>
      <formula2>0</formula2>
    </dataValidation>
    <dataValidation type="list" allowBlank="1" sqref="G6:K54" xr:uid="{00000000-0002-0000-0300-000001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5"/>
  <sheetViews>
    <sheetView showGridLines="0" zoomScale="110" zoomScaleNormal="110" workbookViewId="0">
      <pane ySplit="4" topLeftCell="M50" activePane="bottomLeft" state="frozen"/>
      <selection pane="bottomLeft" activeCell="M64" sqref="M64:M66"/>
    </sheetView>
  </sheetViews>
  <sheetFormatPr defaultColWidth="8.85546875" defaultRowHeight="15"/>
  <cols>
    <col min="1" max="1" width="35.42578125" customWidth="1"/>
    <col min="2" max="2" width="13.85546875" bestFit="1" customWidth="1"/>
    <col min="3" max="3" width="14" customWidth="1"/>
    <col min="4" max="5" width="24.28515625" bestFit="1" customWidth="1"/>
    <col min="6" max="6" width="22" customWidth="1"/>
    <col min="7" max="7" width="22.28515625" bestFit="1" customWidth="1"/>
    <col min="8" max="8" width="23.85546875" customWidth="1"/>
    <col min="9" max="10" width="20.28515625" bestFit="1" customWidth="1"/>
    <col min="11" max="12" width="22.28515625" bestFit="1" customWidth="1"/>
    <col min="13" max="13" width="20.28515625" bestFit="1" customWidth="1"/>
    <col min="14" max="14" width="6.85546875" bestFit="1" customWidth="1"/>
    <col min="15" max="15" width="9.42578125" bestFit="1" customWidth="1"/>
    <col min="16" max="16" width="99.42578125" customWidth="1"/>
  </cols>
  <sheetData>
    <row r="1" spans="1:16" s="3" customFormat="1" ht="18.95" customHeight="1">
      <c r="A1" s="164" t="s">
        <v>793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6">
      <c r="A2" s="154" t="s">
        <v>550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4" spans="1:16" ht="32.1" customHeight="1">
      <c r="A4" s="4" t="s">
        <v>2</v>
      </c>
      <c r="B4" s="4" t="s">
        <v>3</v>
      </c>
      <c r="C4" s="4" t="s">
        <v>282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J4" s="4" t="s">
        <v>557</v>
      </c>
      <c r="K4" s="4" t="s">
        <v>558</v>
      </c>
      <c r="L4" s="4" t="s">
        <v>559</v>
      </c>
      <c r="M4" s="4" t="s">
        <v>560</v>
      </c>
      <c r="N4" s="4" t="s">
        <v>7</v>
      </c>
      <c r="O4" s="4" t="s">
        <v>506</v>
      </c>
      <c r="P4" s="4" t="s">
        <v>10</v>
      </c>
    </row>
    <row r="5" spans="1:16" s="2" customFormat="1" ht="21.75" customHeight="1">
      <c r="A5" s="2" t="s">
        <v>1010</v>
      </c>
    </row>
    <row r="6" spans="1:16" ht="32.1" customHeight="1">
      <c r="A6" s="5" t="s">
        <v>380</v>
      </c>
      <c r="B6" s="5" t="s">
        <v>248</v>
      </c>
      <c r="C6" s="5" t="s">
        <v>796</v>
      </c>
      <c r="D6" s="6" t="s">
        <v>1011</v>
      </c>
      <c r="E6" s="6" t="s">
        <v>1012</v>
      </c>
      <c r="F6" s="6" t="s">
        <v>1013</v>
      </c>
      <c r="G6" s="6">
        <v>4</v>
      </c>
      <c r="H6" s="6">
        <v>3</v>
      </c>
      <c r="I6" s="6">
        <v>5</v>
      </c>
      <c r="J6" s="6">
        <v>4</v>
      </c>
      <c r="K6" s="6">
        <v>3</v>
      </c>
      <c r="L6" s="6">
        <v>0</v>
      </c>
      <c r="M6" s="5">
        <v>3.9</v>
      </c>
      <c r="N6" s="5" t="s">
        <v>811</v>
      </c>
      <c r="O6" s="6"/>
      <c r="P6" s="85" t="s">
        <v>1014</v>
      </c>
    </row>
    <row r="7" spans="1:16" ht="32.1" customHeight="1">
      <c r="A7" s="37" t="s">
        <v>167</v>
      </c>
      <c r="B7" s="5" t="s">
        <v>39</v>
      </c>
      <c r="C7" s="5" t="s">
        <v>809</v>
      </c>
      <c r="D7" s="6" t="s">
        <v>168</v>
      </c>
      <c r="E7" s="6" t="s">
        <v>1015</v>
      </c>
      <c r="F7" s="6" t="s">
        <v>169</v>
      </c>
      <c r="G7" s="37">
        <v>5</v>
      </c>
      <c r="H7" s="6">
        <v>4</v>
      </c>
      <c r="I7" s="6">
        <v>4</v>
      </c>
      <c r="J7" s="6">
        <v>3</v>
      </c>
      <c r="K7" s="6">
        <v>3</v>
      </c>
      <c r="L7" s="6">
        <v>0</v>
      </c>
      <c r="M7" s="5">
        <v>4.1500000000000004</v>
      </c>
      <c r="N7" s="5" t="s">
        <v>806</v>
      </c>
      <c r="O7" s="6"/>
      <c r="P7" s="6" t="s">
        <v>1016</v>
      </c>
    </row>
    <row r="8" spans="1:16" ht="32.1" customHeight="1">
      <c r="A8" s="5" t="s">
        <v>179</v>
      </c>
      <c r="B8" s="5" t="s">
        <v>39</v>
      </c>
      <c r="C8" s="5" t="s">
        <v>809</v>
      </c>
      <c r="D8" s="6" t="s">
        <v>168</v>
      </c>
      <c r="E8" s="6" t="s">
        <v>1017</v>
      </c>
      <c r="F8" s="6" t="s">
        <v>180</v>
      </c>
      <c r="G8" s="6">
        <v>4</v>
      </c>
      <c r="H8" s="6">
        <v>4</v>
      </c>
      <c r="I8" s="6">
        <v>4</v>
      </c>
      <c r="J8" s="6">
        <v>4</v>
      </c>
      <c r="K8" s="6">
        <v>4</v>
      </c>
      <c r="L8" s="6">
        <v>0</v>
      </c>
      <c r="M8" s="5">
        <v>4</v>
      </c>
      <c r="N8" s="5" t="s">
        <v>806</v>
      </c>
      <c r="O8" s="6"/>
      <c r="P8" s="6" t="s">
        <v>1018</v>
      </c>
    </row>
    <row r="9" spans="1:16" ht="32.1" customHeight="1">
      <c r="A9" s="5" t="s">
        <v>129</v>
      </c>
      <c r="B9" s="5" t="s">
        <v>39</v>
      </c>
      <c r="C9" s="5" t="s">
        <v>809</v>
      </c>
      <c r="D9" s="6" t="s">
        <v>130</v>
      </c>
      <c r="E9" s="6" t="s">
        <v>1019</v>
      </c>
      <c r="F9" s="6" t="s">
        <v>131</v>
      </c>
      <c r="G9" s="6">
        <v>4</v>
      </c>
      <c r="H9" s="6">
        <v>5</v>
      </c>
      <c r="I9" s="6">
        <v>4</v>
      </c>
      <c r="J9" s="6">
        <v>5</v>
      </c>
      <c r="K9" s="6">
        <v>5</v>
      </c>
      <c r="L9" s="6">
        <v>0</v>
      </c>
      <c r="M9" s="5">
        <v>4.45</v>
      </c>
      <c r="N9" s="5" t="s">
        <v>806</v>
      </c>
      <c r="O9" s="6"/>
      <c r="P9" s="6" t="s">
        <v>1020</v>
      </c>
    </row>
    <row r="10" spans="1:16" ht="32.1" customHeight="1">
      <c r="A10" s="5" t="s">
        <v>1021</v>
      </c>
      <c r="B10" s="5" t="s">
        <v>39</v>
      </c>
      <c r="C10" s="5" t="s">
        <v>809</v>
      </c>
      <c r="D10" s="6" t="s">
        <v>1022</v>
      </c>
      <c r="E10" s="6" t="s">
        <v>1023</v>
      </c>
      <c r="F10" s="6" t="s">
        <v>1024</v>
      </c>
      <c r="G10" s="6">
        <v>2</v>
      </c>
      <c r="H10" s="6">
        <v>4</v>
      </c>
      <c r="I10" s="6">
        <v>4</v>
      </c>
      <c r="J10" s="6">
        <v>2</v>
      </c>
      <c r="K10" s="6">
        <v>2</v>
      </c>
      <c r="L10" s="6">
        <v>0</v>
      </c>
      <c r="M10" s="5">
        <v>2.9</v>
      </c>
      <c r="N10" s="5" t="s">
        <v>799</v>
      </c>
      <c r="O10" s="6"/>
      <c r="P10" s="6" t="s">
        <v>1025</v>
      </c>
    </row>
    <row r="11" spans="1:16" ht="32.1" customHeight="1">
      <c r="A11" s="37" t="s">
        <v>171</v>
      </c>
      <c r="B11" s="5" t="s">
        <v>39</v>
      </c>
      <c r="C11" s="5" t="s">
        <v>809</v>
      </c>
      <c r="D11" s="6" t="s">
        <v>172</v>
      </c>
      <c r="E11" s="6" t="s">
        <v>1026</v>
      </c>
      <c r="F11" s="6" t="s">
        <v>173</v>
      </c>
      <c r="G11" s="37">
        <v>4</v>
      </c>
      <c r="H11" s="6">
        <v>5</v>
      </c>
      <c r="I11" s="6">
        <v>4</v>
      </c>
      <c r="J11" s="6">
        <v>3</v>
      </c>
      <c r="K11" s="6">
        <v>3</v>
      </c>
      <c r="L11" s="6">
        <v>0</v>
      </c>
      <c r="M11" s="5">
        <v>4.0500000000000007</v>
      </c>
      <c r="N11" s="5" t="s">
        <v>806</v>
      </c>
      <c r="O11" s="6"/>
      <c r="P11" s="6" t="s">
        <v>1027</v>
      </c>
    </row>
    <row r="12" spans="1:16" ht="48" customHeight="1">
      <c r="A12" s="37" t="s">
        <v>1028</v>
      </c>
      <c r="B12" s="5" t="s">
        <v>39</v>
      </c>
      <c r="C12" s="5" t="s">
        <v>809</v>
      </c>
      <c r="D12" s="6" t="s">
        <v>104</v>
      </c>
      <c r="E12" s="6" t="s">
        <v>1029</v>
      </c>
      <c r="F12" s="6" t="s">
        <v>105</v>
      </c>
      <c r="G12" s="37">
        <v>5</v>
      </c>
      <c r="H12" s="6">
        <v>5</v>
      </c>
      <c r="I12" s="6">
        <v>4</v>
      </c>
      <c r="J12" s="6">
        <v>5</v>
      </c>
      <c r="K12" s="6">
        <v>5</v>
      </c>
      <c r="L12" s="6">
        <v>0</v>
      </c>
      <c r="M12" s="5">
        <v>4.8</v>
      </c>
      <c r="N12" s="5" t="s">
        <v>806</v>
      </c>
      <c r="O12" s="6"/>
      <c r="P12" s="6" t="s">
        <v>1030</v>
      </c>
    </row>
    <row r="13" spans="1:16" ht="32.1" customHeight="1">
      <c r="A13" s="37" t="s">
        <v>182</v>
      </c>
      <c r="B13" s="5" t="s">
        <v>39</v>
      </c>
      <c r="C13" s="5" t="s">
        <v>809</v>
      </c>
      <c r="D13" s="6" t="s">
        <v>183</v>
      </c>
      <c r="E13" s="6" t="s">
        <v>1031</v>
      </c>
      <c r="F13" s="6" t="s">
        <v>184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0</v>
      </c>
      <c r="M13" s="5">
        <v>4</v>
      </c>
      <c r="N13" s="5" t="s">
        <v>806</v>
      </c>
      <c r="O13" s="6"/>
      <c r="P13" s="6" t="s">
        <v>1032</v>
      </c>
    </row>
    <row r="14" spans="1:16" ht="32.1" customHeight="1">
      <c r="A14" s="5" t="s">
        <v>194</v>
      </c>
      <c r="B14" s="5" t="s">
        <v>39</v>
      </c>
      <c r="C14" s="5" t="s">
        <v>809</v>
      </c>
      <c r="D14" s="6" t="s">
        <v>195</v>
      </c>
      <c r="E14" s="6" t="s">
        <v>1033</v>
      </c>
      <c r="F14" s="6" t="s">
        <v>1034</v>
      </c>
      <c r="G14" s="37">
        <v>4</v>
      </c>
      <c r="H14" s="6">
        <v>4</v>
      </c>
      <c r="I14" s="6">
        <v>4</v>
      </c>
      <c r="J14" s="6">
        <v>3</v>
      </c>
      <c r="K14" s="6">
        <v>3</v>
      </c>
      <c r="L14" s="6">
        <v>0</v>
      </c>
      <c r="M14" s="5">
        <v>3.8</v>
      </c>
      <c r="N14" s="5" t="s">
        <v>811</v>
      </c>
      <c r="O14" s="6"/>
      <c r="P14" s="6" t="s">
        <v>1035</v>
      </c>
    </row>
    <row r="15" spans="1:16" ht="32.1" customHeight="1">
      <c r="A15" s="5" t="s">
        <v>198</v>
      </c>
      <c r="B15" s="5" t="s">
        <v>39</v>
      </c>
      <c r="C15" s="5" t="s">
        <v>809</v>
      </c>
      <c r="D15" s="6" t="s">
        <v>199</v>
      </c>
      <c r="E15" s="6" t="s">
        <v>1036</v>
      </c>
      <c r="F15" s="6" t="s">
        <v>200</v>
      </c>
      <c r="G15" s="6">
        <v>4</v>
      </c>
      <c r="H15" s="6">
        <v>4</v>
      </c>
      <c r="I15" s="6">
        <v>4</v>
      </c>
      <c r="J15" s="6">
        <v>3</v>
      </c>
      <c r="K15" s="6">
        <v>3</v>
      </c>
      <c r="L15" s="6">
        <v>0</v>
      </c>
      <c r="M15" s="5">
        <v>3.8</v>
      </c>
      <c r="N15" s="5" t="s">
        <v>811</v>
      </c>
      <c r="O15" s="6"/>
      <c r="P15" s="6" t="s">
        <v>1037</v>
      </c>
    </row>
    <row r="16" spans="1:16" ht="32.1" customHeight="1">
      <c r="A16" s="5" t="s">
        <v>107</v>
      </c>
      <c r="B16" s="5" t="s">
        <v>39</v>
      </c>
      <c r="C16" s="5" t="s">
        <v>809</v>
      </c>
      <c r="D16" s="6" t="s">
        <v>108</v>
      </c>
      <c r="E16" s="6" t="s">
        <v>1038</v>
      </c>
      <c r="F16" s="6" t="s">
        <v>109</v>
      </c>
      <c r="G16" s="6">
        <v>5</v>
      </c>
      <c r="H16" s="6">
        <v>5</v>
      </c>
      <c r="I16" s="6">
        <v>4</v>
      </c>
      <c r="J16" s="6">
        <v>4</v>
      </c>
      <c r="K16" s="6">
        <v>4</v>
      </c>
      <c r="L16" s="6">
        <v>0</v>
      </c>
      <c r="M16" s="5">
        <v>4.5999999999999996</v>
      </c>
      <c r="N16" s="5" t="s">
        <v>806</v>
      </c>
      <c r="O16" s="6"/>
      <c r="P16" s="6" t="s">
        <v>1039</v>
      </c>
    </row>
    <row r="17" spans="1:16" ht="32.1" customHeight="1">
      <c r="A17" s="5" t="s">
        <v>111</v>
      </c>
      <c r="B17" s="5" t="s">
        <v>39</v>
      </c>
      <c r="C17" s="5" t="s">
        <v>809</v>
      </c>
      <c r="D17" s="6" t="s">
        <v>112</v>
      </c>
      <c r="E17" s="6" t="s">
        <v>1038</v>
      </c>
      <c r="F17" s="6" t="s">
        <v>113</v>
      </c>
      <c r="G17" s="6">
        <v>5</v>
      </c>
      <c r="H17" s="6">
        <v>5</v>
      </c>
      <c r="I17" s="6">
        <v>4</v>
      </c>
      <c r="J17" s="6">
        <v>4</v>
      </c>
      <c r="K17" s="6">
        <v>4</v>
      </c>
      <c r="L17" s="6">
        <v>0</v>
      </c>
      <c r="M17" s="5">
        <v>4.5999999999999996</v>
      </c>
      <c r="N17" s="5" t="s">
        <v>806</v>
      </c>
      <c r="O17" s="6"/>
      <c r="P17" s="6" t="s">
        <v>1040</v>
      </c>
    </row>
    <row r="18" spans="1:16" ht="32.1" customHeight="1">
      <c r="A18" s="5" t="s">
        <v>1041</v>
      </c>
      <c r="B18" s="5" t="s">
        <v>116</v>
      </c>
      <c r="C18" s="5" t="s">
        <v>809</v>
      </c>
      <c r="D18" s="6" t="s">
        <v>1042</v>
      </c>
      <c r="E18" s="6" t="s">
        <v>1043</v>
      </c>
      <c r="F18" s="6" t="s">
        <v>1044</v>
      </c>
      <c r="G18" s="6">
        <v>3</v>
      </c>
      <c r="H18" s="6">
        <v>5</v>
      </c>
      <c r="I18" s="6">
        <v>4</v>
      </c>
      <c r="J18" s="6">
        <v>4</v>
      </c>
      <c r="K18" s="6">
        <v>3</v>
      </c>
      <c r="L18" s="6">
        <v>0</v>
      </c>
      <c r="M18" s="5">
        <v>3.85</v>
      </c>
      <c r="N18" s="5" t="s">
        <v>811</v>
      </c>
      <c r="O18" s="6"/>
      <c r="P18" s="6" t="s">
        <v>1045</v>
      </c>
    </row>
    <row r="19" spans="1:16" ht="32.1" customHeight="1">
      <c r="A19" s="5" t="s">
        <v>156</v>
      </c>
      <c r="B19" s="5" t="s">
        <v>39</v>
      </c>
      <c r="C19" s="5" t="s">
        <v>809</v>
      </c>
      <c r="D19" s="6" t="s">
        <v>40</v>
      </c>
      <c r="E19" s="6" t="s">
        <v>1046</v>
      </c>
      <c r="F19" s="6" t="s">
        <v>157</v>
      </c>
      <c r="G19" s="6">
        <v>4</v>
      </c>
      <c r="H19" s="6">
        <v>5</v>
      </c>
      <c r="I19" s="6">
        <v>4</v>
      </c>
      <c r="J19" s="6">
        <v>4</v>
      </c>
      <c r="K19" s="6">
        <v>4</v>
      </c>
      <c r="L19" s="6">
        <v>0</v>
      </c>
      <c r="M19" s="5">
        <v>4.25</v>
      </c>
      <c r="N19" s="5" t="s">
        <v>806</v>
      </c>
      <c r="O19" s="6"/>
      <c r="P19" s="6" t="s">
        <v>1047</v>
      </c>
    </row>
    <row r="20" spans="1:16" ht="32.1" customHeight="1">
      <c r="A20" s="5" t="s">
        <v>115</v>
      </c>
      <c r="B20" s="5" t="s">
        <v>116</v>
      </c>
      <c r="C20" s="5" t="s">
        <v>809</v>
      </c>
      <c r="D20" s="6" t="s">
        <v>117</v>
      </c>
      <c r="E20" s="6" t="s">
        <v>1048</v>
      </c>
      <c r="F20" s="6" t="s">
        <v>118</v>
      </c>
      <c r="G20" s="6">
        <v>5</v>
      </c>
      <c r="H20" s="6">
        <v>5</v>
      </c>
      <c r="I20" s="6">
        <v>4</v>
      </c>
      <c r="J20" s="6">
        <v>4</v>
      </c>
      <c r="K20" s="6">
        <v>4</v>
      </c>
      <c r="L20" s="6">
        <v>0</v>
      </c>
      <c r="M20" s="5">
        <v>4.5999999999999996</v>
      </c>
      <c r="N20" s="5" t="s">
        <v>806</v>
      </c>
      <c r="O20" s="6"/>
      <c r="P20" s="6" t="s">
        <v>1049</v>
      </c>
    </row>
    <row r="21" spans="1:16" ht="32.1" customHeight="1">
      <c r="A21" s="5" t="s">
        <v>1050</v>
      </c>
      <c r="B21" s="5" t="s">
        <v>116</v>
      </c>
      <c r="C21" s="5" t="s">
        <v>809</v>
      </c>
      <c r="D21" s="6" t="s">
        <v>121</v>
      </c>
      <c r="E21" s="6" t="s">
        <v>1048</v>
      </c>
      <c r="F21" s="6" t="s">
        <v>118</v>
      </c>
      <c r="G21" s="6">
        <v>5</v>
      </c>
      <c r="H21" s="6">
        <v>5</v>
      </c>
      <c r="I21" s="6">
        <v>4</v>
      </c>
      <c r="J21" s="6">
        <v>3</v>
      </c>
      <c r="K21" s="6">
        <v>3</v>
      </c>
      <c r="L21" s="6">
        <v>0</v>
      </c>
      <c r="M21" s="5">
        <v>4.4000000000000004</v>
      </c>
      <c r="N21" s="5" t="s">
        <v>806</v>
      </c>
      <c r="O21" s="6"/>
      <c r="P21" s="6" t="s">
        <v>1051</v>
      </c>
    </row>
    <row r="22" spans="1:16" ht="32.1" customHeight="1">
      <c r="A22" s="5" t="s">
        <v>1052</v>
      </c>
      <c r="B22" s="5" t="s">
        <v>39</v>
      </c>
      <c r="C22" s="5" t="s">
        <v>809</v>
      </c>
      <c r="D22" s="6" t="s">
        <v>1053</v>
      </c>
      <c r="E22" s="6" t="s">
        <v>1054</v>
      </c>
      <c r="F22" s="6" t="s">
        <v>1055</v>
      </c>
      <c r="G22" s="6">
        <v>5</v>
      </c>
      <c r="H22" s="6">
        <v>4</v>
      </c>
      <c r="I22" s="6">
        <v>4</v>
      </c>
      <c r="J22" s="6">
        <v>2</v>
      </c>
      <c r="K22" s="6">
        <v>3</v>
      </c>
      <c r="L22" s="6">
        <v>-1</v>
      </c>
      <c r="M22" s="5">
        <v>4.0999999999999996</v>
      </c>
      <c r="N22" s="5" t="s">
        <v>806</v>
      </c>
      <c r="O22" s="6"/>
      <c r="P22" s="6" t="s">
        <v>1056</v>
      </c>
    </row>
    <row r="23" spans="1:16" ht="32.1" customHeight="1">
      <c r="A23" s="5" t="s">
        <v>1057</v>
      </c>
      <c r="B23" s="5" t="s">
        <v>39</v>
      </c>
      <c r="C23" s="5" t="s">
        <v>809</v>
      </c>
      <c r="D23" s="6" t="s">
        <v>1058</v>
      </c>
      <c r="E23" s="6" t="s">
        <v>1059</v>
      </c>
      <c r="F23" s="6" t="s">
        <v>1060</v>
      </c>
      <c r="G23" s="6">
        <v>5</v>
      </c>
      <c r="H23" s="6">
        <v>4</v>
      </c>
      <c r="I23" s="6">
        <v>4</v>
      </c>
      <c r="J23" s="6">
        <v>3</v>
      </c>
      <c r="K23" s="6">
        <v>3</v>
      </c>
      <c r="L23" s="6">
        <v>0</v>
      </c>
      <c r="M23" s="5">
        <v>4.1500000000000004</v>
      </c>
      <c r="N23" s="5" t="s">
        <v>806</v>
      </c>
      <c r="O23" s="6"/>
      <c r="P23" s="6" t="s">
        <v>1061</v>
      </c>
    </row>
    <row r="24" spans="1:16" ht="48" customHeight="1">
      <c r="A24" s="5" t="s">
        <v>1062</v>
      </c>
      <c r="B24" s="5" t="s">
        <v>116</v>
      </c>
      <c r="C24" s="5" t="s">
        <v>809</v>
      </c>
      <c r="D24" s="6" t="s">
        <v>121</v>
      </c>
      <c r="E24" s="6" t="s">
        <v>1063</v>
      </c>
      <c r="F24" s="6" t="s">
        <v>1064</v>
      </c>
      <c r="G24" s="6">
        <v>5</v>
      </c>
      <c r="H24" s="6">
        <v>5</v>
      </c>
      <c r="I24" s="6">
        <v>4</v>
      </c>
      <c r="J24" s="6">
        <v>3</v>
      </c>
      <c r="K24" s="6">
        <v>3</v>
      </c>
      <c r="L24" s="6">
        <v>0</v>
      </c>
      <c r="M24" s="5">
        <v>4.4000000000000004</v>
      </c>
      <c r="N24" s="5" t="s">
        <v>806</v>
      </c>
      <c r="O24" s="6"/>
      <c r="P24" s="6" t="s">
        <v>1065</v>
      </c>
    </row>
    <row r="25" spans="1:16" ht="32.1" customHeight="1">
      <c r="A25" s="5" t="s">
        <v>120</v>
      </c>
      <c r="B25" s="5" t="s">
        <v>116</v>
      </c>
      <c r="C25" s="5" t="s">
        <v>809</v>
      </c>
      <c r="D25" s="6" t="s">
        <v>121</v>
      </c>
      <c r="E25" s="6" t="s">
        <v>1066</v>
      </c>
      <c r="F25" s="6" t="s">
        <v>118</v>
      </c>
      <c r="G25" s="6">
        <v>5</v>
      </c>
      <c r="H25" s="6">
        <v>5</v>
      </c>
      <c r="I25" s="6">
        <v>4</v>
      </c>
      <c r="J25" s="6">
        <v>4</v>
      </c>
      <c r="K25" s="6">
        <v>3</v>
      </c>
      <c r="L25" s="6">
        <v>0</v>
      </c>
      <c r="M25" s="5">
        <v>4.55</v>
      </c>
      <c r="N25" s="5" t="s">
        <v>806</v>
      </c>
      <c r="O25" s="6"/>
      <c r="P25" s="6" t="s">
        <v>1067</v>
      </c>
    </row>
    <row r="26" spans="1:16" ht="32.1" customHeight="1">
      <c r="A26" s="5" t="s">
        <v>123</v>
      </c>
      <c r="B26" s="5" t="s">
        <v>116</v>
      </c>
      <c r="C26" s="5" t="s">
        <v>809</v>
      </c>
      <c r="D26" s="6" t="s">
        <v>121</v>
      </c>
      <c r="E26" s="6" t="s">
        <v>1068</v>
      </c>
      <c r="F26" s="6" t="s">
        <v>118</v>
      </c>
      <c r="G26" s="6">
        <v>5</v>
      </c>
      <c r="H26" s="6">
        <v>5</v>
      </c>
      <c r="I26" s="6">
        <v>4</v>
      </c>
      <c r="J26" s="6">
        <v>4</v>
      </c>
      <c r="K26" s="6">
        <v>3</v>
      </c>
      <c r="L26" s="6">
        <v>0</v>
      </c>
      <c r="M26" s="5">
        <v>4.55</v>
      </c>
      <c r="N26" s="5" t="s">
        <v>806</v>
      </c>
      <c r="O26" s="6"/>
      <c r="P26" s="6" t="s">
        <v>1069</v>
      </c>
    </row>
    <row r="27" spans="1:16" ht="32.1" customHeight="1">
      <c r="A27" s="5" t="s">
        <v>1070</v>
      </c>
      <c r="B27" s="5" t="s">
        <v>116</v>
      </c>
      <c r="C27" s="5" t="s">
        <v>809</v>
      </c>
      <c r="D27" s="6" t="s">
        <v>1071</v>
      </c>
      <c r="E27" s="6" t="s">
        <v>1072</v>
      </c>
      <c r="F27" s="6" t="s">
        <v>1073</v>
      </c>
      <c r="G27" s="6">
        <v>5</v>
      </c>
      <c r="H27" s="6">
        <v>5</v>
      </c>
      <c r="I27" s="6">
        <v>4</v>
      </c>
      <c r="J27" s="6">
        <v>3</v>
      </c>
      <c r="K27" s="6">
        <v>3</v>
      </c>
      <c r="L27" s="6">
        <v>0</v>
      </c>
      <c r="M27" s="5">
        <v>4.4000000000000004</v>
      </c>
      <c r="N27" s="5" t="s">
        <v>806</v>
      </c>
      <c r="O27" s="6"/>
      <c r="P27" s="6" t="s">
        <v>1074</v>
      </c>
    </row>
    <row r="28" spans="1:16" ht="32.1" customHeight="1">
      <c r="A28" s="5" t="s">
        <v>190</v>
      </c>
      <c r="B28" s="5" t="s">
        <v>39</v>
      </c>
      <c r="C28" s="5" t="s">
        <v>809</v>
      </c>
      <c r="D28" s="6" t="s">
        <v>191</v>
      </c>
      <c r="E28" s="6" t="s">
        <v>1007</v>
      </c>
      <c r="F28" s="6" t="s">
        <v>1075</v>
      </c>
      <c r="G28" s="6">
        <v>3</v>
      </c>
      <c r="H28" s="6">
        <v>4</v>
      </c>
      <c r="I28" s="6">
        <v>4</v>
      </c>
      <c r="J28" s="6">
        <v>5</v>
      </c>
      <c r="K28" s="6">
        <v>4</v>
      </c>
      <c r="L28" s="6">
        <v>0</v>
      </c>
      <c r="M28" s="5">
        <v>3.8</v>
      </c>
      <c r="N28" s="5" t="s">
        <v>811</v>
      </c>
      <c r="O28" s="6"/>
      <c r="P28" s="6" t="s">
        <v>1076</v>
      </c>
    </row>
    <row r="29" spans="1:16" ht="32.1" customHeight="1">
      <c r="A29" s="37" t="s">
        <v>145</v>
      </c>
      <c r="B29" s="5" t="s">
        <v>39</v>
      </c>
      <c r="C29" s="5" t="s">
        <v>809</v>
      </c>
      <c r="D29" s="6" t="s">
        <v>146</v>
      </c>
      <c r="E29" s="6" t="s">
        <v>1077</v>
      </c>
      <c r="F29" s="37" t="s">
        <v>147</v>
      </c>
      <c r="G29" s="37">
        <v>5</v>
      </c>
      <c r="H29" s="6">
        <v>4</v>
      </c>
      <c r="I29" s="6">
        <v>4</v>
      </c>
      <c r="J29" s="6">
        <v>4</v>
      </c>
      <c r="K29" s="6">
        <v>3</v>
      </c>
      <c r="L29" s="6">
        <v>0</v>
      </c>
      <c r="M29" s="5">
        <v>4.3</v>
      </c>
      <c r="N29" s="5" t="s">
        <v>806</v>
      </c>
      <c r="O29" s="6"/>
      <c r="P29" s="6" t="s">
        <v>1078</v>
      </c>
    </row>
    <row r="30" spans="1:16" ht="32.1" customHeight="1">
      <c r="A30" s="37" t="s">
        <v>141</v>
      </c>
      <c r="B30" s="5" t="s">
        <v>39</v>
      </c>
      <c r="C30" s="5" t="s">
        <v>809</v>
      </c>
      <c r="D30" s="6" t="s">
        <v>142</v>
      </c>
      <c r="E30" s="6" t="s">
        <v>1079</v>
      </c>
      <c r="F30" s="37" t="s">
        <v>143</v>
      </c>
      <c r="G30" s="37">
        <v>5</v>
      </c>
      <c r="H30" s="6">
        <v>4</v>
      </c>
      <c r="I30" s="6">
        <v>4</v>
      </c>
      <c r="J30" s="6">
        <v>4</v>
      </c>
      <c r="K30" s="6">
        <v>4</v>
      </c>
      <c r="L30" s="6">
        <v>0</v>
      </c>
      <c r="M30" s="5">
        <v>4.3499999999999996</v>
      </c>
      <c r="N30" s="5" t="s">
        <v>806</v>
      </c>
      <c r="O30" s="6"/>
      <c r="P30" s="6" t="s">
        <v>1080</v>
      </c>
    </row>
    <row r="31" spans="1:16" ht="48" customHeight="1">
      <c r="A31" s="37" t="s">
        <v>149</v>
      </c>
      <c r="B31" s="5" t="s">
        <v>39</v>
      </c>
      <c r="C31" s="5" t="s">
        <v>809</v>
      </c>
      <c r="D31" s="6" t="s">
        <v>146</v>
      </c>
      <c r="E31" s="6" t="s">
        <v>1079</v>
      </c>
      <c r="F31" s="37" t="s">
        <v>1081</v>
      </c>
      <c r="G31" s="37">
        <v>5</v>
      </c>
      <c r="H31" s="6">
        <v>4</v>
      </c>
      <c r="I31" s="6">
        <v>4</v>
      </c>
      <c r="J31" s="6">
        <v>4</v>
      </c>
      <c r="K31" s="6">
        <v>3</v>
      </c>
      <c r="L31" s="6">
        <v>0</v>
      </c>
      <c r="M31" s="5">
        <v>4.3</v>
      </c>
      <c r="N31" s="5" t="s">
        <v>806</v>
      </c>
      <c r="O31" s="6"/>
      <c r="P31" s="6" t="s">
        <v>1082</v>
      </c>
    </row>
    <row r="32" spans="1:16" ht="32.1" customHeight="1">
      <c r="A32" s="5" t="s">
        <v>125</v>
      </c>
      <c r="B32" s="5" t="s">
        <v>39</v>
      </c>
      <c r="C32" s="5" t="s">
        <v>809</v>
      </c>
      <c r="D32" s="6" t="s">
        <v>126</v>
      </c>
      <c r="E32" s="6" t="s">
        <v>1083</v>
      </c>
      <c r="F32" s="6" t="s">
        <v>1084</v>
      </c>
      <c r="G32" s="6">
        <v>5</v>
      </c>
      <c r="H32" s="6">
        <v>4</v>
      </c>
      <c r="I32" s="6">
        <v>4</v>
      </c>
      <c r="J32" s="6">
        <v>5</v>
      </c>
      <c r="K32" s="6">
        <v>4</v>
      </c>
      <c r="L32" s="6">
        <v>0</v>
      </c>
      <c r="M32" s="5">
        <v>4.5</v>
      </c>
      <c r="N32" s="5" t="s">
        <v>806</v>
      </c>
      <c r="O32" s="6"/>
      <c r="P32" s="6" t="s">
        <v>1085</v>
      </c>
    </row>
    <row r="33" spans="1:16" ht="32.1" customHeight="1">
      <c r="A33" s="37" t="s">
        <v>137</v>
      </c>
      <c r="B33" s="5" t="s">
        <v>39</v>
      </c>
      <c r="C33" s="5" t="s">
        <v>809</v>
      </c>
      <c r="D33" s="6" t="s">
        <v>138</v>
      </c>
      <c r="E33" s="6" t="s">
        <v>1086</v>
      </c>
      <c r="F33" s="6" t="s">
        <v>1087</v>
      </c>
      <c r="G33" s="37">
        <v>5</v>
      </c>
      <c r="H33" s="6">
        <v>4</v>
      </c>
      <c r="I33" s="6">
        <v>4</v>
      </c>
      <c r="J33" s="6">
        <v>4</v>
      </c>
      <c r="K33" s="6">
        <v>4</v>
      </c>
      <c r="L33" s="6">
        <v>0</v>
      </c>
      <c r="M33" s="5">
        <v>4.3499999999999996</v>
      </c>
      <c r="N33" s="5" t="s">
        <v>806</v>
      </c>
      <c r="O33" s="6"/>
      <c r="P33" s="6" t="s">
        <v>1088</v>
      </c>
    </row>
    <row r="34" spans="1:16" ht="32.1" customHeight="1">
      <c r="A34" s="5" t="s">
        <v>1089</v>
      </c>
      <c r="B34" s="5" t="s">
        <v>60</v>
      </c>
      <c r="C34" s="5" t="s">
        <v>796</v>
      </c>
      <c r="D34" s="6" t="s">
        <v>1090</v>
      </c>
      <c r="E34" s="6" t="s">
        <v>1091</v>
      </c>
      <c r="F34" s="6" t="s">
        <v>1092</v>
      </c>
      <c r="G34" s="6">
        <v>2</v>
      </c>
      <c r="H34" s="6">
        <v>4</v>
      </c>
      <c r="I34" s="6">
        <v>4</v>
      </c>
      <c r="J34" s="6">
        <v>3</v>
      </c>
      <c r="K34" s="6">
        <v>3</v>
      </c>
      <c r="L34" s="6">
        <v>0</v>
      </c>
      <c r="M34" s="5">
        <v>3.1</v>
      </c>
      <c r="N34" s="5" t="s">
        <v>799</v>
      </c>
      <c r="O34" s="6"/>
      <c r="P34" s="6" t="s">
        <v>1093</v>
      </c>
    </row>
    <row r="35" spans="1:16" ht="32.1" customHeight="1">
      <c r="A35" s="5" t="s">
        <v>247</v>
      </c>
      <c r="B35" s="5" t="s">
        <v>248</v>
      </c>
      <c r="C35" s="5" t="s">
        <v>796</v>
      </c>
      <c r="D35" s="6" t="s">
        <v>249</v>
      </c>
      <c r="E35" s="6" t="s">
        <v>1094</v>
      </c>
      <c r="F35" s="6" t="s">
        <v>1095</v>
      </c>
      <c r="G35" s="6">
        <v>3</v>
      </c>
      <c r="H35" s="6">
        <v>4</v>
      </c>
      <c r="I35" s="6">
        <v>5</v>
      </c>
      <c r="J35" s="6">
        <v>4</v>
      </c>
      <c r="K35" s="6">
        <v>3</v>
      </c>
      <c r="L35" s="6">
        <v>0</v>
      </c>
      <c r="M35" s="5">
        <v>3.8</v>
      </c>
      <c r="N35" s="5" t="s">
        <v>811</v>
      </c>
      <c r="O35" s="6"/>
      <c r="P35" s="6" t="s">
        <v>1096</v>
      </c>
    </row>
    <row r="36" spans="1:16" ht="48" customHeight="1">
      <c r="A36" s="5" t="s">
        <v>1097</v>
      </c>
      <c r="B36" s="5" t="s">
        <v>72</v>
      </c>
      <c r="C36" s="5" t="s">
        <v>796</v>
      </c>
      <c r="D36" s="6" t="s">
        <v>1098</v>
      </c>
      <c r="E36" s="6" t="s">
        <v>1099</v>
      </c>
      <c r="F36" s="6" t="s">
        <v>1100</v>
      </c>
      <c r="G36" s="6">
        <v>3</v>
      </c>
      <c r="H36" s="6">
        <v>5</v>
      </c>
      <c r="I36" s="6">
        <v>5</v>
      </c>
      <c r="J36" s="6">
        <v>5</v>
      </c>
      <c r="K36" s="6">
        <v>5</v>
      </c>
      <c r="L36" s="6">
        <v>0</v>
      </c>
      <c r="M36" s="5">
        <v>4.3</v>
      </c>
      <c r="N36" s="5" t="s">
        <v>806</v>
      </c>
      <c r="O36" s="6"/>
      <c r="P36" s="6" t="s">
        <v>1101</v>
      </c>
    </row>
    <row r="37" spans="1:16" ht="32.1" customHeight="1">
      <c r="A37" s="5" t="s">
        <v>1102</v>
      </c>
      <c r="B37" s="5" t="s">
        <v>72</v>
      </c>
      <c r="C37" s="5" t="s">
        <v>796</v>
      </c>
      <c r="D37" s="6" t="s">
        <v>1098</v>
      </c>
      <c r="E37" s="6" t="s">
        <v>1099</v>
      </c>
      <c r="F37" s="6" t="s">
        <v>1103</v>
      </c>
      <c r="G37" s="6">
        <v>3</v>
      </c>
      <c r="H37" s="6">
        <v>5</v>
      </c>
      <c r="I37" s="6">
        <v>5</v>
      </c>
      <c r="J37" s="6">
        <v>4</v>
      </c>
      <c r="K37" s="6">
        <v>4</v>
      </c>
      <c r="L37" s="6">
        <v>0</v>
      </c>
      <c r="M37" s="5">
        <v>4.0999999999999996</v>
      </c>
      <c r="N37" s="5" t="s">
        <v>806</v>
      </c>
      <c r="O37" s="6"/>
      <c r="P37" s="6" t="s">
        <v>1104</v>
      </c>
    </row>
    <row r="38" spans="1:16" ht="32.1" customHeight="1">
      <c r="A38" s="5" t="s">
        <v>1105</v>
      </c>
      <c r="B38" s="5" t="s">
        <v>72</v>
      </c>
      <c r="C38" s="5" t="s">
        <v>796</v>
      </c>
      <c r="D38" s="6" t="s">
        <v>1098</v>
      </c>
      <c r="E38" s="6" t="s">
        <v>1099</v>
      </c>
      <c r="F38" s="6" t="s">
        <v>1106</v>
      </c>
      <c r="G38" s="6">
        <v>3</v>
      </c>
      <c r="H38" s="6">
        <v>4</v>
      </c>
      <c r="I38" s="6">
        <v>5</v>
      </c>
      <c r="J38" s="6">
        <v>4</v>
      </c>
      <c r="K38" s="6">
        <v>4</v>
      </c>
      <c r="L38" s="6">
        <v>0</v>
      </c>
      <c r="M38" s="5">
        <v>3.85</v>
      </c>
      <c r="N38" s="5" t="s">
        <v>811</v>
      </c>
      <c r="O38" s="6"/>
      <c r="P38" s="6" t="s">
        <v>1107</v>
      </c>
    </row>
    <row r="39" spans="1:16" ht="32.1" customHeight="1">
      <c r="A39" s="5" t="s">
        <v>1108</v>
      </c>
      <c r="B39" s="5" t="s">
        <v>708</v>
      </c>
      <c r="C39" s="5" t="s">
        <v>814</v>
      </c>
      <c r="D39" s="6" t="s">
        <v>1109</v>
      </c>
      <c r="E39" s="6" t="s">
        <v>1110</v>
      </c>
      <c r="F39" s="6" t="s">
        <v>1111</v>
      </c>
      <c r="G39" s="6">
        <v>2</v>
      </c>
      <c r="H39" s="6">
        <v>4</v>
      </c>
      <c r="I39" s="6">
        <v>3</v>
      </c>
      <c r="J39" s="6">
        <v>4</v>
      </c>
      <c r="K39" s="6">
        <v>4</v>
      </c>
      <c r="L39" s="6">
        <v>-1</v>
      </c>
      <c r="M39" s="5">
        <v>3.2</v>
      </c>
      <c r="N39" s="5" t="s">
        <v>811</v>
      </c>
      <c r="O39" s="6"/>
      <c r="P39" s="6" t="s">
        <v>1112</v>
      </c>
    </row>
    <row r="40" spans="1:16" ht="32.1" customHeight="1">
      <c r="A40" s="5" t="s">
        <v>133</v>
      </c>
      <c r="B40" s="5" t="s">
        <v>39</v>
      </c>
      <c r="C40" s="5" t="s">
        <v>809</v>
      </c>
      <c r="D40" s="6" t="s">
        <v>134</v>
      </c>
      <c r="E40" s="6" t="s">
        <v>1113</v>
      </c>
      <c r="F40" s="6" t="s">
        <v>135</v>
      </c>
      <c r="G40" s="6">
        <v>5</v>
      </c>
      <c r="H40" s="6">
        <v>5</v>
      </c>
      <c r="I40" s="6">
        <v>4</v>
      </c>
      <c r="J40" s="6">
        <v>3</v>
      </c>
      <c r="K40" s="6">
        <v>3</v>
      </c>
      <c r="L40" s="6">
        <v>0</v>
      </c>
      <c r="M40" s="5">
        <v>4.4000000000000004</v>
      </c>
      <c r="N40" s="5" t="s">
        <v>806</v>
      </c>
      <c r="O40" s="6"/>
      <c r="P40" s="6" t="s">
        <v>1114</v>
      </c>
    </row>
    <row r="41" spans="1:16" ht="48" customHeight="1">
      <c r="A41" s="5" t="s">
        <v>1115</v>
      </c>
      <c r="B41" s="5" t="s">
        <v>39</v>
      </c>
      <c r="C41" s="5" t="s">
        <v>809</v>
      </c>
      <c r="D41" s="6" t="s">
        <v>1116</v>
      </c>
      <c r="E41" s="6" t="s">
        <v>1117</v>
      </c>
      <c r="F41" s="6" t="s">
        <v>1118</v>
      </c>
      <c r="G41" s="6">
        <v>5</v>
      </c>
      <c r="H41" s="6">
        <v>5</v>
      </c>
      <c r="I41" s="6">
        <v>4</v>
      </c>
      <c r="J41" s="6">
        <v>5</v>
      </c>
      <c r="K41" s="6">
        <v>5</v>
      </c>
      <c r="L41" s="6">
        <v>0</v>
      </c>
      <c r="M41" s="5">
        <v>4.8</v>
      </c>
      <c r="N41" s="5" t="s">
        <v>806</v>
      </c>
      <c r="O41" s="6"/>
      <c r="P41" s="6" t="s">
        <v>1119</v>
      </c>
    </row>
    <row r="42" spans="1:16" ht="32.1" customHeight="1">
      <c r="A42" s="5" t="s">
        <v>175</v>
      </c>
      <c r="B42" s="5" t="s">
        <v>39</v>
      </c>
      <c r="C42" s="5" t="s">
        <v>809</v>
      </c>
      <c r="D42" s="6" t="s">
        <v>176</v>
      </c>
      <c r="E42" s="6" t="s">
        <v>1086</v>
      </c>
      <c r="F42" s="6" t="s">
        <v>177</v>
      </c>
      <c r="G42" s="6">
        <v>4</v>
      </c>
      <c r="H42" s="6">
        <v>5</v>
      </c>
      <c r="I42" s="6">
        <v>4</v>
      </c>
      <c r="J42" s="6">
        <v>3</v>
      </c>
      <c r="K42" s="6">
        <v>3</v>
      </c>
      <c r="L42" s="6">
        <v>0</v>
      </c>
      <c r="M42" s="5">
        <v>4.0500000000000007</v>
      </c>
      <c r="N42" s="5" t="s">
        <v>806</v>
      </c>
      <c r="O42" s="6"/>
      <c r="P42" s="6" t="s">
        <v>1120</v>
      </c>
    </row>
    <row r="43" spans="1:16" ht="32.1" customHeight="1">
      <c r="A43" s="5" t="s">
        <v>186</v>
      </c>
      <c r="B43" s="5" t="s">
        <v>39</v>
      </c>
      <c r="C43" s="5" t="s">
        <v>809</v>
      </c>
      <c r="D43" s="6" t="s">
        <v>187</v>
      </c>
      <c r="E43" s="6" t="s">
        <v>1121</v>
      </c>
      <c r="F43" s="6" t="s">
        <v>1122</v>
      </c>
      <c r="G43" s="6">
        <v>3</v>
      </c>
      <c r="H43" s="6">
        <v>5</v>
      </c>
      <c r="I43" s="6">
        <v>4</v>
      </c>
      <c r="J43" s="6">
        <v>4</v>
      </c>
      <c r="K43" s="6">
        <v>3</v>
      </c>
      <c r="L43" s="6">
        <v>0</v>
      </c>
      <c r="M43" s="5">
        <v>3.85</v>
      </c>
      <c r="N43" s="5" t="s">
        <v>811</v>
      </c>
      <c r="O43" s="6"/>
      <c r="P43" s="6" t="s">
        <v>1123</v>
      </c>
    </row>
    <row r="44" spans="1:16" ht="32.1" customHeight="1">
      <c r="A44" s="37" t="s">
        <v>1124</v>
      </c>
      <c r="B44" s="5" t="s">
        <v>39</v>
      </c>
      <c r="C44" s="5" t="s">
        <v>809</v>
      </c>
      <c r="D44" s="6" t="s">
        <v>1042</v>
      </c>
      <c r="E44" s="6" t="s">
        <v>1125</v>
      </c>
      <c r="F44" s="6" t="s">
        <v>1126</v>
      </c>
      <c r="G44" s="37">
        <v>3</v>
      </c>
      <c r="H44" s="6">
        <v>5</v>
      </c>
      <c r="I44" s="6">
        <v>4</v>
      </c>
      <c r="J44" s="6">
        <v>3</v>
      </c>
      <c r="K44" s="6">
        <v>3</v>
      </c>
      <c r="L44" s="6">
        <v>0</v>
      </c>
      <c r="M44" s="5">
        <v>3.7</v>
      </c>
      <c r="N44" s="5" t="s">
        <v>811</v>
      </c>
      <c r="O44" s="6"/>
      <c r="P44" s="6" t="s">
        <v>1127</v>
      </c>
    </row>
    <row r="45" spans="1:16" ht="32.1" customHeight="1">
      <c r="A45" s="37" t="s">
        <v>211</v>
      </c>
      <c r="B45" s="5" t="s">
        <v>26</v>
      </c>
      <c r="C45" s="5" t="s">
        <v>802</v>
      </c>
      <c r="D45" s="6" t="s">
        <v>44</v>
      </c>
      <c r="E45" s="6" t="s">
        <v>1128</v>
      </c>
      <c r="F45" s="6" t="s">
        <v>375</v>
      </c>
      <c r="G45" s="37">
        <v>5</v>
      </c>
      <c r="H45" s="6">
        <v>5</v>
      </c>
      <c r="I45" s="6">
        <v>3</v>
      </c>
      <c r="J45" s="6">
        <v>4</v>
      </c>
      <c r="K45" s="6">
        <v>4</v>
      </c>
      <c r="L45" s="6">
        <v>0</v>
      </c>
      <c r="M45" s="5">
        <v>4.4000000000000004</v>
      </c>
      <c r="N45" s="5" t="s">
        <v>806</v>
      </c>
      <c r="O45" s="6"/>
      <c r="P45" s="6" t="s">
        <v>1129</v>
      </c>
    </row>
    <row r="46" spans="1:16" ht="32.1" customHeight="1">
      <c r="A46" s="37" t="s">
        <v>207</v>
      </c>
      <c r="B46" s="5" t="s">
        <v>203</v>
      </c>
      <c r="C46" s="5" t="s">
        <v>802</v>
      </c>
      <c r="D46" s="6" t="s">
        <v>208</v>
      </c>
      <c r="E46" s="6" t="s">
        <v>1130</v>
      </c>
      <c r="F46" s="6" t="s">
        <v>209</v>
      </c>
      <c r="G46" s="37">
        <v>5</v>
      </c>
      <c r="H46" s="6">
        <v>5</v>
      </c>
      <c r="I46" s="6">
        <v>3</v>
      </c>
      <c r="J46" s="6">
        <v>5</v>
      </c>
      <c r="K46" s="6">
        <v>4</v>
      </c>
      <c r="L46" s="6">
        <v>0</v>
      </c>
      <c r="M46" s="5">
        <v>4.55</v>
      </c>
      <c r="N46" s="5" t="s">
        <v>806</v>
      </c>
      <c r="O46" s="6"/>
      <c r="P46" s="6" t="s">
        <v>1131</v>
      </c>
    </row>
    <row r="47" spans="1:16" ht="32.1" customHeight="1">
      <c r="A47" s="37" t="s">
        <v>230</v>
      </c>
      <c r="B47" s="5" t="s">
        <v>231</v>
      </c>
      <c r="C47" s="5" t="s">
        <v>1132</v>
      </c>
      <c r="D47" s="6" t="s">
        <v>232</v>
      </c>
      <c r="E47" s="6" t="s">
        <v>1133</v>
      </c>
      <c r="F47" s="6" t="s">
        <v>233</v>
      </c>
      <c r="G47" s="37">
        <v>5</v>
      </c>
      <c r="H47" s="6">
        <v>5</v>
      </c>
      <c r="I47" s="6">
        <v>3</v>
      </c>
      <c r="J47" s="6">
        <v>4</v>
      </c>
      <c r="K47" s="6">
        <v>4</v>
      </c>
      <c r="L47" s="6">
        <v>0</v>
      </c>
      <c r="M47" s="5">
        <v>4.4000000000000004</v>
      </c>
      <c r="N47" s="5" t="s">
        <v>806</v>
      </c>
      <c r="O47" s="6"/>
      <c r="P47" s="6" t="s">
        <v>1134</v>
      </c>
    </row>
    <row r="48" spans="1:16" ht="32.1" customHeight="1">
      <c r="A48" s="37" t="s">
        <v>235</v>
      </c>
      <c r="B48" s="5" t="s">
        <v>231</v>
      </c>
      <c r="C48" s="5" t="s">
        <v>1132</v>
      </c>
      <c r="D48" s="6" t="s">
        <v>236</v>
      </c>
      <c r="E48" s="6" t="s">
        <v>1135</v>
      </c>
      <c r="F48" s="6" t="s">
        <v>1136</v>
      </c>
      <c r="G48" s="37">
        <v>3</v>
      </c>
      <c r="H48" s="6">
        <v>4</v>
      </c>
      <c r="I48" s="6">
        <v>3</v>
      </c>
      <c r="J48" s="6">
        <v>4</v>
      </c>
      <c r="K48" s="6">
        <v>3</v>
      </c>
      <c r="L48" s="6">
        <v>0</v>
      </c>
      <c r="M48" s="5">
        <v>3.4</v>
      </c>
      <c r="N48" s="5" t="s">
        <v>811</v>
      </c>
      <c r="O48" s="6"/>
      <c r="P48" s="6" t="s">
        <v>1137</v>
      </c>
    </row>
    <row r="49" spans="1:16" ht="32.1" customHeight="1">
      <c r="A49" s="37" t="s">
        <v>1138</v>
      </c>
      <c r="B49" s="5" t="s">
        <v>53</v>
      </c>
      <c r="C49" s="5" t="s">
        <v>802</v>
      </c>
      <c r="D49" s="6" t="s">
        <v>44</v>
      </c>
      <c r="E49" s="6" t="s">
        <v>1139</v>
      </c>
      <c r="F49" s="6" t="s">
        <v>54</v>
      </c>
      <c r="G49" s="37">
        <v>4</v>
      </c>
      <c r="H49" s="6">
        <v>4</v>
      </c>
      <c r="I49" s="6">
        <v>4</v>
      </c>
      <c r="J49" s="6">
        <v>4</v>
      </c>
      <c r="K49" s="6">
        <v>3</v>
      </c>
      <c r="L49" s="6">
        <v>0</v>
      </c>
      <c r="M49" s="5">
        <v>3.95</v>
      </c>
      <c r="N49" s="5" t="s">
        <v>811</v>
      </c>
      <c r="O49" s="6"/>
      <c r="P49" s="6" t="s">
        <v>1140</v>
      </c>
    </row>
    <row r="50" spans="1:16" ht="32.1" customHeight="1">
      <c r="A50" s="37" t="s">
        <v>202</v>
      </c>
      <c r="B50" s="5" t="s">
        <v>203</v>
      </c>
      <c r="C50" s="5" t="s">
        <v>802</v>
      </c>
      <c r="D50" s="6" t="s">
        <v>204</v>
      </c>
      <c r="E50" s="6" t="s">
        <v>1141</v>
      </c>
      <c r="F50" s="6" t="s">
        <v>1142</v>
      </c>
      <c r="G50" s="37">
        <v>5</v>
      </c>
      <c r="H50" s="6">
        <v>5</v>
      </c>
      <c r="I50" s="6">
        <v>3</v>
      </c>
      <c r="J50" s="6">
        <v>5</v>
      </c>
      <c r="K50" s="6">
        <v>4</v>
      </c>
      <c r="L50" s="6">
        <v>0</v>
      </c>
      <c r="M50" s="5">
        <v>4.55</v>
      </c>
      <c r="N50" s="5" t="s">
        <v>806</v>
      </c>
      <c r="O50" s="6"/>
      <c r="P50" s="6" t="s">
        <v>1143</v>
      </c>
    </row>
    <row r="51" spans="1:16" ht="32.1" customHeight="1">
      <c r="A51" s="37" t="s">
        <v>214</v>
      </c>
      <c r="B51" s="5" t="s">
        <v>203</v>
      </c>
      <c r="C51" s="5" t="s">
        <v>802</v>
      </c>
      <c r="D51" s="6" t="s">
        <v>204</v>
      </c>
      <c r="E51" s="6" t="s">
        <v>203</v>
      </c>
      <c r="F51" s="6" t="s">
        <v>215</v>
      </c>
      <c r="G51" s="37">
        <v>5</v>
      </c>
      <c r="H51" s="6">
        <v>5</v>
      </c>
      <c r="I51" s="6">
        <v>3</v>
      </c>
      <c r="J51" s="6">
        <v>3</v>
      </c>
      <c r="K51" s="6">
        <v>3</v>
      </c>
      <c r="L51" s="6">
        <v>0</v>
      </c>
      <c r="M51" s="5">
        <v>4.2</v>
      </c>
      <c r="N51" s="5" t="s">
        <v>806</v>
      </c>
      <c r="O51" s="6"/>
      <c r="P51" s="6" t="s">
        <v>1144</v>
      </c>
    </row>
    <row r="52" spans="1:16" ht="32.1" customHeight="1">
      <c r="A52" s="37" t="s">
        <v>1145</v>
      </c>
      <c r="B52" s="5" t="s">
        <v>39</v>
      </c>
      <c r="C52" s="5" t="s">
        <v>809</v>
      </c>
      <c r="D52" s="6" t="s">
        <v>1042</v>
      </c>
      <c r="E52" s="6" t="s">
        <v>1146</v>
      </c>
      <c r="F52" s="6" t="s">
        <v>1147</v>
      </c>
      <c r="G52" s="37">
        <v>3</v>
      </c>
      <c r="H52" s="6">
        <v>5</v>
      </c>
      <c r="I52" s="6">
        <v>4</v>
      </c>
      <c r="J52" s="6">
        <v>3</v>
      </c>
      <c r="K52" s="6">
        <v>3</v>
      </c>
      <c r="L52" s="6">
        <v>0</v>
      </c>
      <c r="M52" s="5">
        <v>3.7</v>
      </c>
      <c r="N52" s="5" t="s">
        <v>811</v>
      </c>
      <c r="O52" s="6"/>
      <c r="P52" s="6" t="s">
        <v>1148</v>
      </c>
    </row>
    <row r="53" spans="1:16" ht="15.95" customHeight="1">
      <c r="A53" s="37" t="s">
        <v>217</v>
      </c>
      <c r="B53" s="5" t="s">
        <v>203</v>
      </c>
      <c r="C53" s="5" t="s">
        <v>802</v>
      </c>
      <c r="D53" s="6" t="s">
        <v>208</v>
      </c>
      <c r="E53" s="6" t="s">
        <v>1149</v>
      </c>
      <c r="F53" s="6" t="s">
        <v>218</v>
      </c>
      <c r="G53" s="37">
        <v>5</v>
      </c>
      <c r="H53" s="6">
        <v>5</v>
      </c>
      <c r="I53" s="6">
        <v>3</v>
      </c>
      <c r="J53" s="6">
        <v>3</v>
      </c>
      <c r="K53" s="6">
        <v>3</v>
      </c>
      <c r="L53" s="6">
        <v>0</v>
      </c>
      <c r="M53" s="5">
        <v>4.2</v>
      </c>
      <c r="N53" s="5" t="s">
        <v>806</v>
      </c>
      <c r="O53" s="6"/>
      <c r="P53" s="6" t="s">
        <v>1150</v>
      </c>
    </row>
    <row r="54" spans="1:16" ht="32.1" customHeight="1">
      <c r="A54" s="37" t="s">
        <v>239</v>
      </c>
      <c r="B54" s="5" t="s">
        <v>60</v>
      </c>
      <c r="C54" s="5" t="s">
        <v>796</v>
      </c>
      <c r="D54" s="6" t="s">
        <v>240</v>
      </c>
      <c r="E54" s="6" t="s">
        <v>1151</v>
      </c>
      <c r="F54" s="6" t="s">
        <v>41</v>
      </c>
      <c r="G54" s="37">
        <v>3</v>
      </c>
      <c r="H54" s="6">
        <v>5</v>
      </c>
      <c r="I54" s="6">
        <v>5</v>
      </c>
      <c r="J54" s="6">
        <v>4</v>
      </c>
      <c r="K54" s="6">
        <v>4</v>
      </c>
      <c r="L54" s="6">
        <v>0</v>
      </c>
      <c r="M54" s="5">
        <v>4.0999999999999996</v>
      </c>
      <c r="N54" s="5" t="s">
        <v>806</v>
      </c>
      <c r="O54" s="39"/>
      <c r="P54" s="39" t="s">
        <v>1152</v>
      </c>
    </row>
    <row r="55" spans="1:16" s="7" customFormat="1" ht="48" customHeight="1">
      <c r="A55" s="37" t="s">
        <v>1153</v>
      </c>
      <c r="B55" s="5" t="s">
        <v>39</v>
      </c>
      <c r="C55" s="5" t="s">
        <v>809</v>
      </c>
      <c r="D55" s="6" t="s">
        <v>1154</v>
      </c>
      <c r="E55" s="6" t="s">
        <v>1155</v>
      </c>
      <c r="F55" s="6" t="s">
        <v>1156</v>
      </c>
      <c r="G55" s="37">
        <v>3</v>
      </c>
      <c r="H55" s="6">
        <v>5</v>
      </c>
      <c r="I55" s="6">
        <v>4</v>
      </c>
      <c r="J55" s="6">
        <v>5</v>
      </c>
      <c r="K55" s="6">
        <v>5</v>
      </c>
      <c r="L55" s="6">
        <v>0</v>
      </c>
      <c r="M55" s="5">
        <v>4.0999999999999996</v>
      </c>
      <c r="N55" s="5" t="s">
        <v>806</v>
      </c>
      <c r="O55" s="39"/>
      <c r="P55" s="39" t="s">
        <v>1157</v>
      </c>
    </row>
    <row r="56" spans="1:1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  <row r="81" spans="1:1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</row>
    <row r="82" spans="1:1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</row>
    <row r="83" spans="1:1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</row>
    <row r="84" spans="1:1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spans="1:1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</row>
    <row r="86" spans="1:1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</row>
    <row r="87" spans="1:1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</row>
    <row r="88" spans="1:1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</row>
    <row r="89" spans="1:1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</row>
    <row r="90" spans="1:1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</row>
    <row r="91" spans="1:1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</row>
    <row r="92" spans="1:1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</row>
    <row r="93" spans="1:1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</row>
    <row r="94" spans="1:1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</row>
    <row r="95" spans="1:1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</row>
    <row r="96" spans="1:1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</row>
    <row r="97" spans="1:1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</row>
    <row r="99" spans="1:1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</row>
    <row r="100" spans="1:1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</row>
    <row r="101" spans="1:1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</row>
    <row r="102" spans="1:1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1:1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</row>
    <row r="104" spans="1:1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</row>
    <row r="105" spans="1:1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</row>
    <row r="106" spans="1:1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</row>
    <row r="107" spans="1:1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spans="1:1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</row>
    <row r="109" spans="1:1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</row>
    <row r="110" spans="1:1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</row>
    <row r="112" spans="1:1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</row>
    <row r="113" spans="1:1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</row>
    <row r="114" spans="1:1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</row>
    <row r="115" spans="1:1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</row>
    <row r="116" spans="1: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</row>
    <row r="117" spans="1:1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</row>
    <row r="131" spans="1:1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</row>
    <row r="133" spans="1:1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</row>
    <row r="134" spans="1:1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</row>
    <row r="135" spans="1:1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</row>
  </sheetData>
  <autoFilter ref="A4:P54" xr:uid="{00000000-0009-0000-0000-000004000000}"/>
  <mergeCells count="2">
    <mergeCell ref="A1:P1"/>
    <mergeCell ref="A2:P2"/>
  </mergeCells>
  <conditionalFormatting sqref="M6:M55">
    <cfRule type="colorScale" priority="1">
      <colorScale>
        <cfvo type="num" val="0"/>
        <cfvo type="num" val="2.5"/>
        <cfvo type="num" val="5"/>
        <color rgb="FFFEE2E2"/>
        <color rgb="FFFEF9C3"/>
        <color rgb="FFDCFCE7"/>
      </colorScale>
    </cfRule>
  </conditionalFormatting>
  <dataValidations count="2">
    <dataValidation type="list" allowBlank="1" sqref="G6:K54" xr:uid="{00000000-0002-0000-0400-000000000000}">
      <formula1>"0,1,2,3,4,5"</formula1>
      <formula2>0</formula2>
    </dataValidation>
    <dataValidation type="list" sqref="L6:L54" xr:uid="{00000000-0002-0000-0400-000001000000}">
      <formula1>"0,-1,-2"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2"/>
  <sheetViews>
    <sheetView workbookViewId="0">
      <selection activeCell="A27" sqref="A27"/>
    </sheetView>
  </sheetViews>
  <sheetFormatPr defaultColWidth="8.85546875" defaultRowHeight="15"/>
  <cols>
    <col min="1" max="1" width="24.7109375" customWidth="1"/>
    <col min="2" max="2" width="12.42578125" bestFit="1" customWidth="1"/>
    <col min="3" max="3" width="14" bestFit="1" customWidth="1"/>
    <col min="4" max="4" width="28.7109375" customWidth="1"/>
    <col min="5" max="5" width="49.28515625" customWidth="1"/>
    <col min="6" max="6" width="27.28515625" customWidth="1"/>
    <col min="7" max="7" width="14.140625" customWidth="1"/>
    <col min="8" max="8" width="16.7109375" customWidth="1"/>
    <col min="9" max="9" width="12.42578125" customWidth="1"/>
    <col min="10" max="10" width="11" customWidth="1"/>
    <col min="11" max="11" width="11.28515625" customWidth="1"/>
    <col min="12" max="12" width="14.42578125" customWidth="1"/>
    <col min="13" max="13" width="12.42578125" customWidth="1"/>
    <col min="14" max="14" width="6" bestFit="1" customWidth="1"/>
    <col min="15" max="15" width="7.140625" bestFit="1" customWidth="1"/>
    <col min="16" max="16" width="118.140625" customWidth="1"/>
  </cols>
  <sheetData>
    <row r="1" spans="1:16" ht="18.95" customHeight="1">
      <c r="A1" s="59" t="s">
        <v>1158</v>
      </c>
      <c r="B1" s="59"/>
      <c r="C1" s="63" t="s">
        <v>1159</v>
      </c>
      <c r="D1" s="64" t="s">
        <v>1160</v>
      </c>
      <c r="E1" s="81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 spans="1:16" ht="18.95" customHeight="1">
      <c r="A2" s="59"/>
      <c r="B2" s="61"/>
      <c r="C2" s="62"/>
      <c r="D2" s="93" t="s">
        <v>1161</v>
      </c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3" spans="1:16" ht="18.95" customHeight="1">
      <c r="A3" s="59"/>
      <c r="B3" s="61"/>
      <c r="C3" s="62"/>
      <c r="D3" s="94" t="s">
        <v>1162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</row>
    <row r="4" spans="1:16" s="60" customFormat="1" ht="37.5" customHeight="1">
      <c r="A4" s="4" t="s">
        <v>2</v>
      </c>
      <c r="B4" s="4" t="s">
        <v>3</v>
      </c>
      <c r="C4" s="4" t="s">
        <v>282</v>
      </c>
      <c r="D4" s="4" t="s">
        <v>551</v>
      </c>
      <c r="E4" s="4" t="s">
        <v>552</v>
      </c>
      <c r="F4" s="4" t="s">
        <v>553</v>
      </c>
      <c r="G4" s="4" t="s">
        <v>554</v>
      </c>
      <c r="H4" s="4" t="s">
        <v>555</v>
      </c>
      <c r="I4" s="4" t="s">
        <v>556</v>
      </c>
      <c r="J4" s="4" t="s">
        <v>557</v>
      </c>
      <c r="K4" s="4" t="s">
        <v>558</v>
      </c>
      <c r="L4" s="4" t="s">
        <v>559</v>
      </c>
      <c r="M4" s="4" t="s">
        <v>560</v>
      </c>
      <c r="N4" s="4" t="s">
        <v>7</v>
      </c>
      <c r="O4" s="4" t="s">
        <v>506</v>
      </c>
      <c r="P4" s="4" t="s">
        <v>10</v>
      </c>
    </row>
    <row r="5" spans="1:16" ht="32.1" customHeight="1">
      <c r="A5" s="5" t="s">
        <v>76</v>
      </c>
      <c r="B5" s="5" t="s">
        <v>60</v>
      </c>
      <c r="C5" s="5" t="s">
        <v>796</v>
      </c>
      <c r="D5" s="6" t="s">
        <v>77</v>
      </c>
      <c r="E5" s="6" t="s">
        <v>634</v>
      </c>
      <c r="F5" s="6" t="s">
        <v>635</v>
      </c>
      <c r="G5" s="6">
        <v>4</v>
      </c>
      <c r="H5" s="6">
        <v>2</v>
      </c>
      <c r="I5" s="6">
        <v>3</v>
      </c>
      <c r="J5" s="6">
        <v>4</v>
      </c>
      <c r="K5" s="6">
        <v>3</v>
      </c>
      <c r="L5" s="6">
        <v>-1</v>
      </c>
      <c r="M5" s="5">
        <v>3.35</v>
      </c>
      <c r="N5" s="41" t="s">
        <v>811</v>
      </c>
      <c r="O5" s="6"/>
      <c r="P5" s="87" t="s">
        <v>1163</v>
      </c>
    </row>
    <row r="6" spans="1:16" s="66" customFormat="1" ht="32.1" customHeight="1">
      <c r="A6" s="65" t="s">
        <v>647</v>
      </c>
      <c r="B6" s="65" t="s">
        <v>255</v>
      </c>
      <c r="C6" s="65" t="s">
        <v>814</v>
      </c>
      <c r="D6" s="65" t="s">
        <v>222</v>
      </c>
      <c r="E6" s="65" t="s">
        <v>648</v>
      </c>
      <c r="F6" s="65" t="s">
        <v>649</v>
      </c>
      <c r="G6" s="65">
        <v>5</v>
      </c>
      <c r="H6" s="65">
        <v>4</v>
      </c>
      <c r="I6" s="65">
        <v>2</v>
      </c>
      <c r="J6" s="65">
        <v>5</v>
      </c>
      <c r="K6" s="65">
        <v>4</v>
      </c>
      <c r="L6" s="65">
        <v>-1</v>
      </c>
      <c r="M6" s="65">
        <v>4.2</v>
      </c>
      <c r="N6" s="65" t="s">
        <v>806</v>
      </c>
      <c r="O6" s="65"/>
      <c r="P6" s="65" t="s">
        <v>650</v>
      </c>
    </row>
    <row r="7" spans="1:16" ht="32.1" customHeight="1">
      <c r="A7" s="42" t="s">
        <v>824</v>
      </c>
      <c r="B7" s="42" t="s">
        <v>39</v>
      </c>
      <c r="C7" s="42" t="s">
        <v>809</v>
      </c>
      <c r="D7" s="42" t="s">
        <v>35</v>
      </c>
      <c r="E7" s="42" t="s">
        <v>825</v>
      </c>
      <c r="F7" s="42" t="s">
        <v>826</v>
      </c>
      <c r="G7" s="42">
        <v>5</v>
      </c>
      <c r="H7" s="42">
        <v>4</v>
      </c>
      <c r="I7" s="42">
        <v>3</v>
      </c>
      <c r="J7" s="42">
        <v>4</v>
      </c>
      <c r="K7" s="42">
        <v>4</v>
      </c>
      <c r="L7" s="42">
        <v>-1</v>
      </c>
      <c r="M7" s="42">
        <v>4.25</v>
      </c>
      <c r="N7" s="42" t="s">
        <v>806</v>
      </c>
      <c r="O7" s="42" t="s">
        <v>348</v>
      </c>
      <c r="P7" s="42" t="s">
        <v>827</v>
      </c>
    </row>
    <row r="8" spans="1:16" ht="32.1" customHeight="1">
      <c r="A8" s="42" t="s">
        <v>828</v>
      </c>
      <c r="B8" s="42" t="s">
        <v>39</v>
      </c>
      <c r="C8" s="42" t="s">
        <v>809</v>
      </c>
      <c r="D8" s="42" t="s">
        <v>35</v>
      </c>
      <c r="E8" s="42" t="s">
        <v>829</v>
      </c>
      <c r="F8" s="42" t="s">
        <v>830</v>
      </c>
      <c r="G8" s="42">
        <v>5</v>
      </c>
      <c r="H8" s="42">
        <v>5</v>
      </c>
      <c r="I8" s="42">
        <v>3</v>
      </c>
      <c r="J8" s="42">
        <v>5</v>
      </c>
      <c r="K8" s="42">
        <v>5</v>
      </c>
      <c r="L8" s="42">
        <v>-1</v>
      </c>
      <c r="M8" s="42">
        <v>4.7</v>
      </c>
      <c r="N8" s="42" t="s">
        <v>806</v>
      </c>
      <c r="O8" s="42" t="s">
        <v>348</v>
      </c>
      <c r="P8" s="42" t="s">
        <v>831</v>
      </c>
    </row>
    <row r="9" spans="1:16" ht="32.1" customHeight="1">
      <c r="A9" s="65" t="s">
        <v>163</v>
      </c>
      <c r="B9" s="65" t="s">
        <v>39</v>
      </c>
      <c r="C9" s="65" t="s">
        <v>809</v>
      </c>
      <c r="D9" s="65" t="s">
        <v>164</v>
      </c>
      <c r="E9" s="65" t="s">
        <v>832</v>
      </c>
      <c r="F9" s="65" t="s">
        <v>165</v>
      </c>
      <c r="G9" s="65">
        <v>5</v>
      </c>
      <c r="H9" s="65">
        <v>4</v>
      </c>
      <c r="I9" s="65">
        <v>3</v>
      </c>
      <c r="J9" s="65">
        <v>4</v>
      </c>
      <c r="K9" s="65">
        <v>4</v>
      </c>
      <c r="L9" s="65">
        <v>0</v>
      </c>
      <c r="M9" s="65">
        <v>4.1500000000000004</v>
      </c>
      <c r="N9" s="65" t="s">
        <v>806</v>
      </c>
      <c r="O9" s="65"/>
      <c r="P9" s="65" t="s">
        <v>833</v>
      </c>
    </row>
    <row r="10" spans="1:16" ht="32.1" customHeight="1">
      <c r="A10" s="82" t="s">
        <v>225</v>
      </c>
      <c r="B10" s="5" t="s">
        <v>226</v>
      </c>
      <c r="C10" s="5" t="s">
        <v>885</v>
      </c>
      <c r="D10" s="6" t="s">
        <v>227</v>
      </c>
      <c r="E10" s="6" t="s">
        <v>905</v>
      </c>
      <c r="F10" s="6" t="s">
        <v>228</v>
      </c>
      <c r="G10" s="6">
        <v>5</v>
      </c>
      <c r="H10" s="6">
        <v>2</v>
      </c>
      <c r="I10" s="6">
        <v>3</v>
      </c>
      <c r="J10" s="6">
        <v>5</v>
      </c>
      <c r="K10" s="6">
        <v>4</v>
      </c>
      <c r="L10" s="6">
        <v>0</v>
      </c>
      <c r="M10" s="5">
        <v>3.8</v>
      </c>
      <c r="N10" s="41" t="s">
        <v>811</v>
      </c>
      <c r="O10" s="6"/>
      <c r="P10" s="6" t="s">
        <v>906</v>
      </c>
    </row>
    <row r="11" spans="1:16" ht="15.95" customHeight="1">
      <c r="A11" s="82" t="s">
        <v>220</v>
      </c>
      <c r="B11" s="5" t="s">
        <v>221</v>
      </c>
      <c r="C11" s="5" t="s">
        <v>802</v>
      </c>
      <c r="D11" s="6" t="s">
        <v>222</v>
      </c>
      <c r="E11" s="42" t="s">
        <v>907</v>
      </c>
      <c r="F11" s="6" t="s">
        <v>908</v>
      </c>
      <c r="G11" s="6">
        <v>5</v>
      </c>
      <c r="H11" s="6">
        <v>3</v>
      </c>
      <c r="I11" s="6">
        <v>3</v>
      </c>
      <c r="J11" s="6">
        <v>4</v>
      </c>
      <c r="K11" s="6">
        <v>3</v>
      </c>
      <c r="L11" s="6">
        <v>0</v>
      </c>
      <c r="M11" s="5">
        <v>3.85</v>
      </c>
      <c r="N11" s="41" t="s">
        <v>811</v>
      </c>
      <c r="O11" s="6"/>
      <c r="P11" s="6" t="s">
        <v>909</v>
      </c>
    </row>
    <row r="12" spans="1:16" ht="15.95" customHeight="1">
      <c r="A12" s="82" t="s">
        <v>910</v>
      </c>
      <c r="B12" s="5" t="s">
        <v>16</v>
      </c>
      <c r="C12" s="5" t="s">
        <v>802</v>
      </c>
      <c r="D12" s="6" t="s">
        <v>911</v>
      </c>
      <c r="E12" s="42" t="s">
        <v>912</v>
      </c>
      <c r="F12" s="6" t="s">
        <v>913</v>
      </c>
      <c r="G12" s="6">
        <v>5</v>
      </c>
      <c r="H12" s="6">
        <v>2</v>
      </c>
      <c r="I12" s="6">
        <v>3</v>
      </c>
      <c r="J12" s="6">
        <v>4</v>
      </c>
      <c r="K12" s="6">
        <v>3</v>
      </c>
      <c r="L12" s="6">
        <v>0</v>
      </c>
      <c r="M12" s="5">
        <v>3.6</v>
      </c>
      <c r="N12" s="41" t="s">
        <v>811</v>
      </c>
      <c r="O12" s="6"/>
      <c r="P12" s="6" t="s">
        <v>914</v>
      </c>
    </row>
    <row r="13" spans="1:16" s="43" customFormat="1" ht="32.1" customHeight="1">
      <c r="A13" s="5" t="s">
        <v>242</v>
      </c>
      <c r="B13" s="5" t="s">
        <v>243</v>
      </c>
      <c r="C13" s="5" t="s">
        <v>802</v>
      </c>
      <c r="D13" s="6" t="s">
        <v>244</v>
      </c>
      <c r="E13" s="6" t="s">
        <v>971</v>
      </c>
      <c r="F13" s="6" t="s">
        <v>972</v>
      </c>
      <c r="G13" s="6">
        <v>3</v>
      </c>
      <c r="H13" s="6">
        <v>4</v>
      </c>
      <c r="I13" s="6">
        <v>5</v>
      </c>
      <c r="J13" s="6">
        <v>4</v>
      </c>
      <c r="K13" s="6">
        <v>3</v>
      </c>
      <c r="L13" s="6">
        <v>0</v>
      </c>
      <c r="M13" s="5">
        <v>3.8</v>
      </c>
      <c r="N13" s="41" t="s">
        <v>811</v>
      </c>
      <c r="O13" s="6"/>
      <c r="P13" s="6" t="s">
        <v>973</v>
      </c>
    </row>
    <row r="14" spans="1:16" s="66" customFormat="1" ht="32.1" customHeight="1">
      <c r="A14" s="65" t="s">
        <v>974</v>
      </c>
      <c r="B14" s="65" t="s">
        <v>34</v>
      </c>
      <c r="C14" s="65" t="s">
        <v>802</v>
      </c>
      <c r="D14" s="65" t="s">
        <v>975</v>
      </c>
      <c r="E14" s="65" t="s">
        <v>976</v>
      </c>
      <c r="F14" s="65" t="s">
        <v>977</v>
      </c>
      <c r="G14" s="65">
        <v>3</v>
      </c>
      <c r="H14" s="65">
        <v>4</v>
      </c>
      <c r="I14" s="65">
        <v>4</v>
      </c>
      <c r="J14" s="65">
        <v>4</v>
      </c>
      <c r="K14" s="65">
        <v>4</v>
      </c>
      <c r="L14" s="65">
        <v>0</v>
      </c>
      <c r="M14" s="65">
        <v>3.65</v>
      </c>
      <c r="N14" s="65" t="s">
        <v>811</v>
      </c>
      <c r="O14" s="65"/>
      <c r="P14" s="65" t="s">
        <v>978</v>
      </c>
    </row>
    <row r="15" spans="1:16" ht="32.1" customHeight="1">
      <c r="A15" s="5" t="s">
        <v>38</v>
      </c>
      <c r="B15" s="5" t="s">
        <v>39</v>
      </c>
      <c r="C15" s="5" t="s">
        <v>809</v>
      </c>
      <c r="D15" s="6" t="s">
        <v>40</v>
      </c>
      <c r="E15" s="6" t="s">
        <v>979</v>
      </c>
      <c r="F15" s="6" t="s">
        <v>41</v>
      </c>
      <c r="G15" s="6">
        <v>4</v>
      </c>
      <c r="H15" s="6">
        <v>5</v>
      </c>
      <c r="I15" s="6">
        <v>4</v>
      </c>
      <c r="J15" s="6">
        <v>5</v>
      </c>
      <c r="K15" s="6">
        <v>5</v>
      </c>
      <c r="L15" s="6">
        <v>0</v>
      </c>
      <c r="M15" s="5">
        <v>4.45</v>
      </c>
      <c r="N15" s="41" t="s">
        <v>806</v>
      </c>
      <c r="O15" s="6"/>
      <c r="P15" s="6" t="s">
        <v>980</v>
      </c>
    </row>
    <row r="16" spans="1:16" ht="32.1" customHeight="1">
      <c r="A16" s="65" t="s">
        <v>152</v>
      </c>
      <c r="B16" s="65" t="s">
        <v>39</v>
      </c>
      <c r="C16" s="65" t="s">
        <v>809</v>
      </c>
      <c r="D16" s="65" t="s">
        <v>981</v>
      </c>
      <c r="E16" s="65" t="s">
        <v>982</v>
      </c>
      <c r="F16" s="65" t="s">
        <v>983</v>
      </c>
      <c r="G16" s="65">
        <v>4</v>
      </c>
      <c r="H16" s="65">
        <v>5</v>
      </c>
      <c r="I16" s="65">
        <v>4</v>
      </c>
      <c r="J16" s="65">
        <v>4</v>
      </c>
      <c r="K16" s="65">
        <v>4</v>
      </c>
      <c r="L16" s="65">
        <v>0</v>
      </c>
      <c r="M16" s="65">
        <v>4.25</v>
      </c>
      <c r="N16" s="65" t="s">
        <v>806</v>
      </c>
      <c r="O16" s="65"/>
      <c r="P16" s="65" t="s">
        <v>984</v>
      </c>
    </row>
    <row r="17" spans="1:16" ht="32.1" customHeight="1">
      <c r="A17" s="83" t="s">
        <v>89</v>
      </c>
      <c r="B17" s="42" t="s">
        <v>90</v>
      </c>
      <c r="C17" s="42" t="s">
        <v>985</v>
      </c>
      <c r="D17" s="42" t="s">
        <v>986</v>
      </c>
      <c r="E17" s="42" t="s">
        <v>987</v>
      </c>
      <c r="F17" s="42" t="s">
        <v>988</v>
      </c>
      <c r="G17" s="42">
        <v>4</v>
      </c>
      <c r="H17" s="42">
        <v>5</v>
      </c>
      <c r="I17" s="42">
        <v>5</v>
      </c>
      <c r="J17" s="42">
        <v>4</v>
      </c>
      <c r="K17" s="42">
        <v>5</v>
      </c>
      <c r="L17" s="42">
        <v>0</v>
      </c>
      <c r="M17" s="42">
        <v>4.5</v>
      </c>
      <c r="N17" s="42" t="s">
        <v>806</v>
      </c>
      <c r="O17" s="42" t="s">
        <v>296</v>
      </c>
      <c r="P17" s="42" t="s">
        <v>989</v>
      </c>
    </row>
    <row r="18" spans="1:16" ht="32.1" customHeight="1">
      <c r="A18" s="75" t="s">
        <v>990</v>
      </c>
      <c r="B18" s="5" t="s">
        <v>90</v>
      </c>
      <c r="C18" s="5" t="s">
        <v>985</v>
      </c>
      <c r="D18" s="6" t="s">
        <v>44</v>
      </c>
      <c r="E18" s="6" t="s">
        <v>991</v>
      </c>
      <c r="F18" s="6" t="s">
        <v>95</v>
      </c>
      <c r="G18" s="41">
        <v>4</v>
      </c>
      <c r="H18" s="6">
        <v>5</v>
      </c>
      <c r="I18" s="6">
        <v>5</v>
      </c>
      <c r="J18" s="6">
        <v>3</v>
      </c>
      <c r="K18" s="6">
        <v>4</v>
      </c>
      <c r="L18" s="6">
        <v>0</v>
      </c>
      <c r="M18" s="5">
        <v>4.3</v>
      </c>
      <c r="N18" s="41" t="s">
        <v>806</v>
      </c>
      <c r="O18" s="6"/>
      <c r="P18" s="6" t="s">
        <v>992</v>
      </c>
    </row>
    <row r="19" spans="1:16" ht="32.1" customHeight="1">
      <c r="A19" s="5" t="s">
        <v>258</v>
      </c>
      <c r="B19" s="5" t="s">
        <v>259</v>
      </c>
      <c r="C19" s="5" t="s">
        <v>802</v>
      </c>
      <c r="D19" s="6" t="s">
        <v>44</v>
      </c>
      <c r="E19" s="6" t="s">
        <v>993</v>
      </c>
      <c r="F19" s="6" t="s">
        <v>994</v>
      </c>
      <c r="G19" s="41">
        <v>5</v>
      </c>
      <c r="H19" s="6">
        <v>5</v>
      </c>
      <c r="I19" s="6">
        <v>5</v>
      </c>
      <c r="J19" s="6">
        <v>4</v>
      </c>
      <c r="K19" s="6">
        <v>4</v>
      </c>
      <c r="L19" s="6">
        <v>0</v>
      </c>
      <c r="M19" s="5">
        <v>4.8</v>
      </c>
      <c r="N19" s="41" t="s">
        <v>806</v>
      </c>
      <c r="O19" s="6"/>
      <c r="P19" s="6" t="s">
        <v>995</v>
      </c>
    </row>
    <row r="20" spans="1:16" ht="15.95" customHeight="1">
      <c r="A20" s="75" t="s">
        <v>262</v>
      </c>
      <c r="B20" s="5" t="s">
        <v>90</v>
      </c>
      <c r="C20" s="5" t="s">
        <v>985</v>
      </c>
      <c r="D20" s="6" t="s">
        <v>263</v>
      </c>
      <c r="E20" s="6" t="s">
        <v>996</v>
      </c>
      <c r="F20" s="6" t="s">
        <v>264</v>
      </c>
      <c r="G20" s="41">
        <v>4</v>
      </c>
      <c r="H20" s="6">
        <v>5</v>
      </c>
      <c r="I20" s="6">
        <v>5</v>
      </c>
      <c r="J20" s="6">
        <v>3</v>
      </c>
      <c r="K20" s="6">
        <v>3</v>
      </c>
      <c r="L20" s="6">
        <v>0</v>
      </c>
      <c r="M20" s="5">
        <v>4.25</v>
      </c>
      <c r="N20" s="41" t="s">
        <v>806</v>
      </c>
      <c r="O20" s="6"/>
      <c r="P20" s="6" t="s">
        <v>997</v>
      </c>
    </row>
    <row r="21" spans="1:16" ht="32.1" customHeight="1">
      <c r="A21" s="42" t="s">
        <v>56</v>
      </c>
      <c r="B21" s="42" t="s">
        <v>34</v>
      </c>
      <c r="C21" s="42" t="s">
        <v>802</v>
      </c>
      <c r="D21" s="42" t="s">
        <v>998</v>
      </c>
      <c r="E21" s="42" t="s">
        <v>999</v>
      </c>
      <c r="F21" s="42" t="s">
        <v>57</v>
      </c>
      <c r="G21" s="42">
        <v>4</v>
      </c>
      <c r="H21" s="42">
        <v>4</v>
      </c>
      <c r="I21" s="42">
        <v>4</v>
      </c>
      <c r="J21" s="42">
        <v>3</v>
      </c>
      <c r="K21" s="42">
        <v>3</v>
      </c>
      <c r="L21" s="42">
        <v>0</v>
      </c>
      <c r="M21" s="42">
        <v>3.8</v>
      </c>
      <c r="N21" s="42" t="s">
        <v>811</v>
      </c>
      <c r="O21" s="42" t="s">
        <v>348</v>
      </c>
      <c r="P21" s="42" t="s">
        <v>1000</v>
      </c>
    </row>
    <row r="22" spans="1:16" ht="32.1" customHeight="1">
      <c r="A22" s="42" t="s">
        <v>43</v>
      </c>
      <c r="B22" s="42" t="s">
        <v>39</v>
      </c>
      <c r="C22" s="42" t="s">
        <v>809</v>
      </c>
      <c r="D22" s="42" t="s">
        <v>44</v>
      </c>
      <c r="E22" s="42" t="s">
        <v>1001</v>
      </c>
      <c r="F22" s="42" t="s">
        <v>45</v>
      </c>
      <c r="G22" s="42">
        <v>5</v>
      </c>
      <c r="H22" s="42">
        <v>4</v>
      </c>
      <c r="I22" s="42">
        <v>3</v>
      </c>
      <c r="J22" s="42">
        <v>4</v>
      </c>
      <c r="K22" s="42">
        <v>4</v>
      </c>
      <c r="L22" s="42">
        <v>0</v>
      </c>
      <c r="M22" s="42">
        <v>4.1500000000000004</v>
      </c>
      <c r="N22" s="42" t="s">
        <v>806</v>
      </c>
      <c r="O22" s="42"/>
      <c r="P22" s="42" t="s">
        <v>1002</v>
      </c>
    </row>
    <row r="23" spans="1:16" ht="32.1" customHeight="1">
      <c r="A23" s="5" t="s">
        <v>159</v>
      </c>
      <c r="B23" s="5" t="s">
        <v>39</v>
      </c>
      <c r="C23" s="5" t="s">
        <v>809</v>
      </c>
      <c r="D23" s="6" t="s">
        <v>160</v>
      </c>
      <c r="E23" s="6" t="s">
        <v>1003</v>
      </c>
      <c r="F23" s="6" t="s">
        <v>161</v>
      </c>
      <c r="G23" s="41">
        <v>4</v>
      </c>
      <c r="H23" s="6">
        <v>5</v>
      </c>
      <c r="I23" s="6">
        <v>4</v>
      </c>
      <c r="J23" s="6">
        <v>4</v>
      </c>
      <c r="K23" s="6">
        <v>4</v>
      </c>
      <c r="L23" s="6">
        <v>0</v>
      </c>
      <c r="M23" s="5">
        <v>4.25</v>
      </c>
      <c r="N23" s="41" t="s">
        <v>806</v>
      </c>
      <c r="O23" s="6"/>
      <c r="P23" s="6" t="s">
        <v>1004</v>
      </c>
    </row>
    <row r="24" spans="1:16" ht="32.1" customHeight="1">
      <c r="A24" s="5" t="s">
        <v>1005</v>
      </c>
      <c r="B24" s="5" t="s">
        <v>39</v>
      </c>
      <c r="C24" s="5" t="s">
        <v>809</v>
      </c>
      <c r="D24" s="6" t="s">
        <v>1006</v>
      </c>
      <c r="E24" s="6" t="s">
        <v>1007</v>
      </c>
      <c r="F24" s="6" t="s">
        <v>1008</v>
      </c>
      <c r="G24" s="41">
        <v>3</v>
      </c>
      <c r="H24" s="6">
        <v>5</v>
      </c>
      <c r="I24" s="6">
        <v>4</v>
      </c>
      <c r="J24" s="6">
        <v>3</v>
      </c>
      <c r="K24" s="6">
        <v>3</v>
      </c>
      <c r="L24" s="6">
        <v>0</v>
      </c>
      <c r="M24" s="5">
        <v>3.7</v>
      </c>
      <c r="N24" s="41" t="s">
        <v>811</v>
      </c>
      <c r="O24" s="6"/>
      <c r="P24" s="6" t="s">
        <v>1009</v>
      </c>
    </row>
    <row r="25" spans="1:16" s="66" customFormat="1" ht="15.95" customHeight="1">
      <c r="A25" s="5" t="s">
        <v>167</v>
      </c>
      <c r="B25" s="5" t="s">
        <v>39</v>
      </c>
      <c r="C25" s="5" t="s">
        <v>809</v>
      </c>
      <c r="D25" s="6" t="s">
        <v>168</v>
      </c>
      <c r="E25" s="6" t="s">
        <v>1015</v>
      </c>
      <c r="F25" s="6" t="s">
        <v>169</v>
      </c>
      <c r="G25" s="41">
        <v>5</v>
      </c>
      <c r="H25" s="6">
        <v>4</v>
      </c>
      <c r="I25" s="6">
        <v>4</v>
      </c>
      <c r="J25" s="6">
        <v>3</v>
      </c>
      <c r="K25" s="6">
        <v>3</v>
      </c>
      <c r="L25" s="6">
        <v>0</v>
      </c>
      <c r="M25" s="5">
        <v>4.1500000000000004</v>
      </c>
      <c r="N25" s="41" t="s">
        <v>806</v>
      </c>
      <c r="O25" s="39"/>
      <c r="P25" s="39" t="s">
        <v>1016</v>
      </c>
    </row>
    <row r="26" spans="1:16" ht="32.1" customHeight="1">
      <c r="A26" s="5" t="s">
        <v>179</v>
      </c>
      <c r="B26" s="5" t="s">
        <v>39</v>
      </c>
      <c r="C26" s="5" t="s">
        <v>809</v>
      </c>
      <c r="D26" s="6" t="s">
        <v>168</v>
      </c>
      <c r="E26" s="6" t="s">
        <v>1017</v>
      </c>
      <c r="F26" s="6" t="s">
        <v>180</v>
      </c>
      <c r="G26" s="41">
        <v>4</v>
      </c>
      <c r="H26" s="6">
        <v>4</v>
      </c>
      <c r="I26" s="6">
        <v>4</v>
      </c>
      <c r="J26" s="6">
        <v>4</v>
      </c>
      <c r="K26" s="6">
        <v>4</v>
      </c>
      <c r="L26" s="6">
        <v>0</v>
      </c>
      <c r="M26" s="5">
        <v>4</v>
      </c>
      <c r="N26" s="41" t="s">
        <v>806</v>
      </c>
      <c r="O26" s="39"/>
      <c r="P26" s="39" t="s">
        <v>1018</v>
      </c>
    </row>
    <row r="27" spans="1:16" s="66" customFormat="1" ht="32.1" customHeight="1">
      <c r="A27" s="5" t="s">
        <v>129</v>
      </c>
      <c r="B27" s="5" t="s">
        <v>39</v>
      </c>
      <c r="C27" s="5" t="s">
        <v>809</v>
      </c>
      <c r="D27" s="6" t="s">
        <v>130</v>
      </c>
      <c r="E27" s="6" t="s">
        <v>1019</v>
      </c>
      <c r="F27" s="41" t="s">
        <v>131</v>
      </c>
      <c r="G27" s="41">
        <v>4</v>
      </c>
      <c r="H27" s="41">
        <v>5</v>
      </c>
      <c r="I27" s="41">
        <v>4</v>
      </c>
      <c r="J27" s="41">
        <v>5</v>
      </c>
      <c r="K27" s="41">
        <v>5</v>
      </c>
      <c r="L27" s="41">
        <v>0</v>
      </c>
      <c r="M27" s="5">
        <v>4.45</v>
      </c>
      <c r="N27" s="41" t="s">
        <v>806</v>
      </c>
      <c r="O27" s="41"/>
      <c r="P27" s="41" t="s">
        <v>1020</v>
      </c>
    </row>
    <row r="28" spans="1:16" s="43" customFormat="1" ht="32.1" customHeight="1">
      <c r="A28" s="5" t="s">
        <v>171</v>
      </c>
      <c r="B28" s="5" t="s">
        <v>39</v>
      </c>
      <c r="C28" s="5" t="s">
        <v>809</v>
      </c>
      <c r="D28" s="6" t="s">
        <v>172</v>
      </c>
      <c r="E28" s="6" t="s">
        <v>1026</v>
      </c>
      <c r="F28" s="41" t="s">
        <v>173</v>
      </c>
      <c r="G28" s="41">
        <v>4</v>
      </c>
      <c r="H28" s="41">
        <v>5</v>
      </c>
      <c r="I28" s="41">
        <v>4</v>
      </c>
      <c r="J28" s="41">
        <v>3</v>
      </c>
      <c r="K28" s="41">
        <v>3</v>
      </c>
      <c r="L28" s="41">
        <v>0</v>
      </c>
      <c r="M28" s="5">
        <v>4.05</v>
      </c>
      <c r="N28" s="41" t="s">
        <v>806</v>
      </c>
      <c r="O28" s="41"/>
      <c r="P28" s="41" t="s">
        <v>1027</v>
      </c>
    </row>
    <row r="29" spans="1:16" ht="32.1" customHeight="1">
      <c r="A29" s="5" t="s">
        <v>1028</v>
      </c>
      <c r="B29" s="5" t="s">
        <v>39</v>
      </c>
      <c r="C29" s="5" t="s">
        <v>809</v>
      </c>
      <c r="D29" s="6" t="s">
        <v>104</v>
      </c>
      <c r="E29" s="6" t="s">
        <v>1029</v>
      </c>
      <c r="F29" s="41" t="s">
        <v>105</v>
      </c>
      <c r="G29" s="41">
        <v>5</v>
      </c>
      <c r="H29" s="41">
        <v>5</v>
      </c>
      <c r="I29" s="41">
        <v>4</v>
      </c>
      <c r="J29" s="41">
        <v>5</v>
      </c>
      <c r="K29" s="41">
        <v>5</v>
      </c>
      <c r="L29" s="41">
        <v>0</v>
      </c>
      <c r="M29" s="5">
        <v>4.8</v>
      </c>
      <c r="N29" s="41" t="s">
        <v>806</v>
      </c>
      <c r="O29" s="41"/>
      <c r="P29" s="41" t="s">
        <v>1030</v>
      </c>
    </row>
    <row r="30" spans="1:16" ht="32.1" customHeight="1">
      <c r="A30" s="5" t="s">
        <v>182</v>
      </c>
      <c r="B30" s="5" t="s">
        <v>39</v>
      </c>
      <c r="C30" s="5" t="s">
        <v>809</v>
      </c>
      <c r="D30" s="6" t="s">
        <v>183</v>
      </c>
      <c r="E30" s="6" t="s">
        <v>1031</v>
      </c>
      <c r="F30" s="41" t="s">
        <v>184</v>
      </c>
      <c r="G30" s="41">
        <v>4</v>
      </c>
      <c r="H30" s="41">
        <v>4</v>
      </c>
      <c r="I30" s="41">
        <v>4</v>
      </c>
      <c r="J30" s="41">
        <v>4</v>
      </c>
      <c r="K30" s="41">
        <v>4</v>
      </c>
      <c r="L30" s="41">
        <v>0</v>
      </c>
      <c r="M30" s="5">
        <v>4</v>
      </c>
      <c r="N30" s="41" t="s">
        <v>806</v>
      </c>
      <c r="O30" s="41"/>
      <c r="P30" s="41" t="s">
        <v>1032</v>
      </c>
    </row>
    <row r="31" spans="1:16" ht="15.95" customHeight="1">
      <c r="A31" s="65" t="s">
        <v>194</v>
      </c>
      <c r="B31" s="65" t="s">
        <v>39</v>
      </c>
      <c r="C31" s="65" t="s">
        <v>809</v>
      </c>
      <c r="D31" s="65" t="s">
        <v>195</v>
      </c>
      <c r="E31" s="65" t="s">
        <v>1033</v>
      </c>
      <c r="F31" s="65" t="s">
        <v>1034</v>
      </c>
      <c r="G31" s="65">
        <v>4</v>
      </c>
      <c r="H31" s="65">
        <v>4</v>
      </c>
      <c r="I31" s="65">
        <v>4</v>
      </c>
      <c r="J31" s="65">
        <v>3</v>
      </c>
      <c r="K31" s="65">
        <v>3</v>
      </c>
      <c r="L31" s="65">
        <v>0</v>
      </c>
      <c r="M31" s="65">
        <v>3.8</v>
      </c>
      <c r="N31" s="65" t="s">
        <v>811</v>
      </c>
      <c r="O31" s="65"/>
      <c r="P31" s="65" t="s">
        <v>1035</v>
      </c>
    </row>
    <row r="32" spans="1:16" s="43" customFormat="1" ht="15.95" customHeight="1">
      <c r="A32" s="5" t="s">
        <v>198</v>
      </c>
      <c r="B32" s="5" t="s">
        <v>39</v>
      </c>
      <c r="C32" s="5" t="s">
        <v>809</v>
      </c>
      <c r="D32" s="6" t="s">
        <v>199</v>
      </c>
      <c r="E32" s="6" t="s">
        <v>1036</v>
      </c>
      <c r="F32" s="41" t="s">
        <v>200</v>
      </c>
      <c r="G32" s="41">
        <v>4</v>
      </c>
      <c r="H32" s="41">
        <v>4</v>
      </c>
      <c r="I32" s="41">
        <v>4</v>
      </c>
      <c r="J32" s="41">
        <v>3</v>
      </c>
      <c r="K32" s="41">
        <v>3</v>
      </c>
      <c r="L32" s="41">
        <v>0</v>
      </c>
      <c r="M32" s="5">
        <v>3.8</v>
      </c>
      <c r="N32" s="41" t="s">
        <v>811</v>
      </c>
      <c r="O32" s="41"/>
      <c r="P32" s="41" t="s">
        <v>1037</v>
      </c>
    </row>
    <row r="33" spans="1:16" s="43" customFormat="1" ht="32.1" customHeight="1">
      <c r="A33" s="5" t="s">
        <v>107</v>
      </c>
      <c r="B33" s="5" t="s">
        <v>39</v>
      </c>
      <c r="C33" s="5" t="s">
        <v>809</v>
      </c>
      <c r="D33" s="6" t="s">
        <v>108</v>
      </c>
      <c r="E33" s="6" t="s">
        <v>1038</v>
      </c>
      <c r="F33" s="41" t="s">
        <v>109</v>
      </c>
      <c r="G33" s="41">
        <v>5</v>
      </c>
      <c r="H33" s="41">
        <v>5</v>
      </c>
      <c r="I33" s="41">
        <v>4</v>
      </c>
      <c r="J33" s="41">
        <v>4</v>
      </c>
      <c r="K33" s="41">
        <v>4</v>
      </c>
      <c r="L33" s="41">
        <v>0</v>
      </c>
      <c r="M33" s="5">
        <v>4.5999999999999996</v>
      </c>
      <c r="N33" s="41" t="s">
        <v>806</v>
      </c>
      <c r="O33" s="41"/>
      <c r="P33" s="41" t="s">
        <v>1039</v>
      </c>
    </row>
    <row r="34" spans="1:16" ht="32.1" customHeight="1">
      <c r="A34" s="5" t="s">
        <v>111</v>
      </c>
      <c r="B34" s="5" t="s">
        <v>39</v>
      </c>
      <c r="C34" s="5" t="s">
        <v>809</v>
      </c>
      <c r="D34" s="6" t="s">
        <v>112</v>
      </c>
      <c r="E34" s="6" t="s">
        <v>1038</v>
      </c>
      <c r="F34" s="41" t="s">
        <v>113</v>
      </c>
      <c r="G34" s="41">
        <v>5</v>
      </c>
      <c r="H34" s="41">
        <v>5</v>
      </c>
      <c r="I34" s="41">
        <v>4</v>
      </c>
      <c r="J34" s="41">
        <v>4</v>
      </c>
      <c r="K34" s="41">
        <v>4</v>
      </c>
      <c r="L34" s="41">
        <v>0</v>
      </c>
      <c r="M34" s="5">
        <v>4.5999999999999996</v>
      </c>
      <c r="N34" s="41" t="s">
        <v>806</v>
      </c>
      <c r="O34" s="41"/>
      <c r="P34" s="41" t="s">
        <v>1040</v>
      </c>
    </row>
    <row r="35" spans="1:16" ht="32.1" customHeight="1">
      <c r="A35" s="5" t="s">
        <v>1041</v>
      </c>
      <c r="B35" s="5" t="s">
        <v>116</v>
      </c>
      <c r="C35" s="5" t="s">
        <v>809</v>
      </c>
      <c r="D35" s="6" t="s">
        <v>1042</v>
      </c>
      <c r="E35" s="6" t="s">
        <v>1043</v>
      </c>
      <c r="F35" s="41" t="s">
        <v>1044</v>
      </c>
      <c r="G35" s="41">
        <v>3</v>
      </c>
      <c r="H35" s="41">
        <v>5</v>
      </c>
      <c r="I35" s="41">
        <v>4</v>
      </c>
      <c r="J35" s="41">
        <v>4</v>
      </c>
      <c r="K35" s="41">
        <v>3</v>
      </c>
      <c r="L35" s="41">
        <v>0</v>
      </c>
      <c r="M35" s="5">
        <v>3.85</v>
      </c>
      <c r="N35" s="41" t="s">
        <v>811</v>
      </c>
      <c r="O35" s="41"/>
      <c r="P35" s="41" t="s">
        <v>1045</v>
      </c>
    </row>
    <row r="36" spans="1:16" s="66" customFormat="1" ht="32.1" customHeight="1">
      <c r="A36" s="5" t="s">
        <v>156</v>
      </c>
      <c r="B36" s="5" t="s">
        <v>39</v>
      </c>
      <c r="C36" s="5" t="s">
        <v>809</v>
      </c>
      <c r="D36" s="6" t="s">
        <v>40</v>
      </c>
      <c r="E36" s="6" t="s">
        <v>1046</v>
      </c>
      <c r="F36" s="41" t="s">
        <v>157</v>
      </c>
      <c r="G36" s="41">
        <v>4</v>
      </c>
      <c r="H36" s="41">
        <v>5</v>
      </c>
      <c r="I36" s="41">
        <v>4</v>
      </c>
      <c r="J36" s="41">
        <v>4</v>
      </c>
      <c r="K36" s="41">
        <v>4</v>
      </c>
      <c r="L36" s="41">
        <v>0</v>
      </c>
      <c r="M36" s="5">
        <v>4.25</v>
      </c>
      <c r="N36" s="41" t="s">
        <v>806</v>
      </c>
      <c r="O36" s="41"/>
      <c r="P36" s="41" t="s">
        <v>1047</v>
      </c>
    </row>
    <row r="37" spans="1:16" ht="32.1" customHeight="1">
      <c r="A37" s="5" t="s">
        <v>115</v>
      </c>
      <c r="B37" s="5" t="s">
        <v>116</v>
      </c>
      <c r="C37" s="5" t="s">
        <v>809</v>
      </c>
      <c r="D37" s="6" t="s">
        <v>117</v>
      </c>
      <c r="E37" s="6" t="s">
        <v>1048</v>
      </c>
      <c r="F37" s="41" t="s">
        <v>118</v>
      </c>
      <c r="G37" s="41">
        <v>5</v>
      </c>
      <c r="H37" s="41">
        <v>5</v>
      </c>
      <c r="I37" s="41">
        <v>4</v>
      </c>
      <c r="J37" s="41">
        <v>4</v>
      </c>
      <c r="K37" s="41">
        <v>4</v>
      </c>
      <c r="L37" s="41">
        <v>0</v>
      </c>
      <c r="M37" s="5">
        <v>4.5999999999999996</v>
      </c>
      <c r="N37" s="41" t="s">
        <v>806</v>
      </c>
      <c r="O37" s="41"/>
      <c r="P37" s="41" t="s">
        <v>1049</v>
      </c>
    </row>
    <row r="38" spans="1:16" ht="32.1" customHeight="1">
      <c r="A38" s="5" t="s">
        <v>1050</v>
      </c>
      <c r="B38" s="5" t="s">
        <v>116</v>
      </c>
      <c r="C38" s="5" t="s">
        <v>809</v>
      </c>
      <c r="D38" s="6" t="s">
        <v>121</v>
      </c>
      <c r="E38" s="6" t="s">
        <v>1048</v>
      </c>
      <c r="F38" s="41" t="s">
        <v>118</v>
      </c>
      <c r="G38" s="41">
        <v>5</v>
      </c>
      <c r="H38" s="41">
        <v>5</v>
      </c>
      <c r="I38" s="41">
        <v>4</v>
      </c>
      <c r="J38" s="41">
        <v>3</v>
      </c>
      <c r="K38" s="41">
        <v>3</v>
      </c>
      <c r="L38" s="41">
        <v>0</v>
      </c>
      <c r="M38" s="5">
        <v>4.4000000000000004</v>
      </c>
      <c r="N38" s="41" t="s">
        <v>806</v>
      </c>
      <c r="O38" s="41"/>
      <c r="P38" s="41" t="s">
        <v>1051</v>
      </c>
    </row>
    <row r="39" spans="1:16" ht="32.1" customHeight="1">
      <c r="A39" s="5" t="s">
        <v>1052</v>
      </c>
      <c r="B39" s="5" t="s">
        <v>39</v>
      </c>
      <c r="C39" s="5" t="s">
        <v>809</v>
      </c>
      <c r="D39" s="6" t="s">
        <v>1053</v>
      </c>
      <c r="E39" s="6" t="s">
        <v>1054</v>
      </c>
      <c r="F39" s="41" t="s">
        <v>1055</v>
      </c>
      <c r="G39" s="41">
        <v>5</v>
      </c>
      <c r="H39" s="41">
        <v>4</v>
      </c>
      <c r="I39" s="41">
        <v>4</v>
      </c>
      <c r="J39" s="41">
        <v>2</v>
      </c>
      <c r="K39" s="41">
        <v>3</v>
      </c>
      <c r="L39" s="41">
        <v>-1</v>
      </c>
      <c r="M39" s="5">
        <v>4.0999999999999996</v>
      </c>
      <c r="N39" s="41" t="s">
        <v>806</v>
      </c>
      <c r="O39" s="41"/>
      <c r="P39" s="41" t="s">
        <v>1056</v>
      </c>
    </row>
    <row r="40" spans="1:16" ht="15.95" customHeight="1">
      <c r="A40" s="5" t="s">
        <v>1057</v>
      </c>
      <c r="B40" s="5" t="s">
        <v>39</v>
      </c>
      <c r="C40" s="5" t="s">
        <v>809</v>
      </c>
      <c r="D40" s="6" t="s">
        <v>1058</v>
      </c>
      <c r="E40" s="6" t="s">
        <v>1059</v>
      </c>
      <c r="F40" s="41" t="s">
        <v>1060</v>
      </c>
      <c r="G40" s="41">
        <v>5</v>
      </c>
      <c r="H40" s="41">
        <v>4</v>
      </c>
      <c r="I40" s="41">
        <v>4</v>
      </c>
      <c r="J40" s="41">
        <v>3</v>
      </c>
      <c r="K40" s="41">
        <v>3</v>
      </c>
      <c r="L40" s="41">
        <v>0</v>
      </c>
      <c r="M40" s="5">
        <v>4.1500000000000004</v>
      </c>
      <c r="N40" s="41" t="s">
        <v>806</v>
      </c>
      <c r="O40" s="41"/>
      <c r="P40" s="41" t="s">
        <v>1061</v>
      </c>
    </row>
    <row r="41" spans="1:16" ht="32.1" customHeight="1">
      <c r="A41" s="5" t="s">
        <v>1062</v>
      </c>
      <c r="B41" s="5" t="s">
        <v>116</v>
      </c>
      <c r="C41" s="5" t="s">
        <v>809</v>
      </c>
      <c r="D41" s="6" t="s">
        <v>121</v>
      </c>
      <c r="E41" s="6" t="s">
        <v>1063</v>
      </c>
      <c r="F41" s="41" t="s">
        <v>1064</v>
      </c>
      <c r="G41" s="41">
        <v>5</v>
      </c>
      <c r="H41" s="41">
        <v>5</v>
      </c>
      <c r="I41" s="41">
        <v>4</v>
      </c>
      <c r="J41" s="41">
        <v>3</v>
      </c>
      <c r="K41" s="41">
        <v>3</v>
      </c>
      <c r="L41" s="41">
        <v>0</v>
      </c>
      <c r="M41" s="5">
        <v>4.4000000000000004</v>
      </c>
      <c r="N41" s="41" t="s">
        <v>806</v>
      </c>
      <c r="O41" s="41"/>
      <c r="P41" s="41" t="s">
        <v>1065</v>
      </c>
    </row>
    <row r="42" spans="1:16" ht="32.1" customHeight="1">
      <c r="A42" s="5" t="s">
        <v>120</v>
      </c>
      <c r="B42" s="5" t="s">
        <v>116</v>
      </c>
      <c r="C42" s="5" t="s">
        <v>809</v>
      </c>
      <c r="D42" s="6" t="s">
        <v>121</v>
      </c>
      <c r="E42" s="6" t="s">
        <v>1066</v>
      </c>
      <c r="F42" s="41" t="s">
        <v>118</v>
      </c>
      <c r="G42" s="41">
        <v>5</v>
      </c>
      <c r="H42" s="41">
        <v>5</v>
      </c>
      <c r="I42" s="41">
        <v>4</v>
      </c>
      <c r="J42" s="41">
        <v>4</v>
      </c>
      <c r="K42" s="41">
        <v>3</v>
      </c>
      <c r="L42" s="41">
        <v>0</v>
      </c>
      <c r="M42" s="5">
        <v>4.55</v>
      </c>
      <c r="N42" s="41" t="s">
        <v>806</v>
      </c>
      <c r="O42" s="41"/>
      <c r="P42" s="41" t="s">
        <v>1067</v>
      </c>
    </row>
    <row r="43" spans="1:16" s="66" customFormat="1" ht="15.95" customHeight="1">
      <c r="A43" s="5" t="s">
        <v>123</v>
      </c>
      <c r="B43" s="5" t="s">
        <v>116</v>
      </c>
      <c r="C43" s="5" t="s">
        <v>809</v>
      </c>
      <c r="D43" s="6" t="s">
        <v>121</v>
      </c>
      <c r="E43" s="6" t="s">
        <v>1068</v>
      </c>
      <c r="F43" s="41" t="s">
        <v>118</v>
      </c>
      <c r="G43" s="41">
        <v>5</v>
      </c>
      <c r="H43" s="41">
        <v>5</v>
      </c>
      <c r="I43" s="41">
        <v>4</v>
      </c>
      <c r="J43" s="41">
        <v>4</v>
      </c>
      <c r="K43" s="41">
        <v>3</v>
      </c>
      <c r="L43" s="41">
        <v>0</v>
      </c>
      <c r="M43" s="5">
        <v>4.55</v>
      </c>
      <c r="N43" s="41" t="s">
        <v>806</v>
      </c>
      <c r="O43" s="41"/>
      <c r="P43" s="41" t="s">
        <v>1069</v>
      </c>
    </row>
    <row r="44" spans="1:16" ht="15.95" customHeight="1">
      <c r="A44" s="65" t="s">
        <v>1070</v>
      </c>
      <c r="B44" s="65" t="s">
        <v>116</v>
      </c>
      <c r="C44" s="65" t="s">
        <v>809</v>
      </c>
      <c r="D44" s="65" t="s">
        <v>1071</v>
      </c>
      <c r="E44" s="65" t="s">
        <v>1072</v>
      </c>
      <c r="F44" s="65" t="s">
        <v>1073</v>
      </c>
      <c r="G44" s="65">
        <v>5</v>
      </c>
      <c r="H44" s="65">
        <v>5</v>
      </c>
      <c r="I44" s="65">
        <v>4</v>
      </c>
      <c r="J44" s="65">
        <v>3</v>
      </c>
      <c r="K44" s="65">
        <v>3</v>
      </c>
      <c r="L44" s="65">
        <v>0</v>
      </c>
      <c r="M44" s="65">
        <v>4.4000000000000004</v>
      </c>
      <c r="N44" s="65" t="s">
        <v>806</v>
      </c>
      <c r="O44" s="65"/>
      <c r="P44" s="65" t="s">
        <v>1074</v>
      </c>
    </row>
    <row r="45" spans="1:16" ht="32.1" customHeight="1">
      <c r="A45" s="5" t="s">
        <v>190</v>
      </c>
      <c r="B45" s="5" t="s">
        <v>39</v>
      </c>
      <c r="C45" s="5" t="s">
        <v>809</v>
      </c>
      <c r="D45" s="6" t="s">
        <v>191</v>
      </c>
      <c r="E45" s="6" t="s">
        <v>1007</v>
      </c>
      <c r="F45" s="41" t="s">
        <v>1075</v>
      </c>
      <c r="G45" s="41">
        <v>3</v>
      </c>
      <c r="H45" s="41">
        <v>4</v>
      </c>
      <c r="I45" s="41">
        <v>4</v>
      </c>
      <c r="J45" s="41">
        <v>5</v>
      </c>
      <c r="K45" s="41">
        <v>4</v>
      </c>
      <c r="L45" s="41">
        <v>0</v>
      </c>
      <c r="M45" s="5">
        <v>3.8</v>
      </c>
      <c r="N45" s="41" t="s">
        <v>811</v>
      </c>
      <c r="O45" s="41"/>
      <c r="P45" s="41" t="s">
        <v>1076</v>
      </c>
    </row>
    <row r="46" spans="1:16" ht="15.95" customHeight="1">
      <c r="A46" s="5" t="s">
        <v>145</v>
      </c>
      <c r="B46" s="5" t="s">
        <v>39</v>
      </c>
      <c r="C46" s="5" t="s">
        <v>809</v>
      </c>
      <c r="D46" s="6" t="s">
        <v>146</v>
      </c>
      <c r="E46" s="6" t="s">
        <v>1077</v>
      </c>
      <c r="F46" s="41" t="s">
        <v>147</v>
      </c>
      <c r="G46" s="41">
        <v>5</v>
      </c>
      <c r="H46" s="41">
        <v>4</v>
      </c>
      <c r="I46" s="41">
        <v>4</v>
      </c>
      <c r="J46" s="41">
        <v>4</v>
      </c>
      <c r="K46" s="41">
        <v>3</v>
      </c>
      <c r="L46" s="41">
        <v>0</v>
      </c>
      <c r="M46" s="5">
        <v>4.3</v>
      </c>
      <c r="N46" s="41" t="s">
        <v>806</v>
      </c>
      <c r="O46" s="41"/>
      <c r="P46" s="41" t="s">
        <v>1078</v>
      </c>
    </row>
    <row r="47" spans="1:16" ht="32.1" customHeight="1">
      <c r="A47" s="5" t="s">
        <v>141</v>
      </c>
      <c r="B47" s="5" t="s">
        <v>39</v>
      </c>
      <c r="C47" s="5" t="s">
        <v>809</v>
      </c>
      <c r="D47" s="6" t="s">
        <v>142</v>
      </c>
      <c r="E47" s="6" t="s">
        <v>1079</v>
      </c>
      <c r="F47" s="41" t="s">
        <v>143</v>
      </c>
      <c r="G47" s="41">
        <v>5</v>
      </c>
      <c r="H47" s="41">
        <v>4</v>
      </c>
      <c r="I47" s="41">
        <v>4</v>
      </c>
      <c r="J47" s="41">
        <v>4</v>
      </c>
      <c r="K47" s="41">
        <v>4</v>
      </c>
      <c r="L47" s="41">
        <v>0</v>
      </c>
      <c r="M47" s="5">
        <v>4.3499999999999996</v>
      </c>
      <c r="N47" s="41" t="s">
        <v>806</v>
      </c>
      <c r="O47" s="41"/>
      <c r="P47" s="41" t="s">
        <v>1080</v>
      </c>
    </row>
    <row r="48" spans="1:16" ht="32.1" customHeight="1">
      <c r="A48" s="5" t="s">
        <v>149</v>
      </c>
      <c r="B48" s="5" t="s">
        <v>39</v>
      </c>
      <c r="C48" s="5" t="s">
        <v>809</v>
      </c>
      <c r="D48" s="6" t="s">
        <v>146</v>
      </c>
      <c r="E48" s="6" t="s">
        <v>1079</v>
      </c>
      <c r="F48" s="41" t="s">
        <v>1081</v>
      </c>
      <c r="G48" s="41">
        <v>5</v>
      </c>
      <c r="H48" s="41">
        <v>4</v>
      </c>
      <c r="I48" s="41">
        <v>4</v>
      </c>
      <c r="J48" s="41">
        <v>4</v>
      </c>
      <c r="K48" s="41">
        <v>3</v>
      </c>
      <c r="L48" s="41">
        <v>0</v>
      </c>
      <c r="M48" s="5">
        <v>4.3</v>
      </c>
      <c r="N48" s="41" t="s">
        <v>806</v>
      </c>
      <c r="O48" s="41"/>
      <c r="P48" s="41" t="s">
        <v>1082</v>
      </c>
    </row>
    <row r="49" spans="1:16" ht="32.1" customHeight="1">
      <c r="A49" s="5" t="s">
        <v>125</v>
      </c>
      <c r="B49" s="5" t="s">
        <v>39</v>
      </c>
      <c r="C49" s="5" t="s">
        <v>809</v>
      </c>
      <c r="D49" s="6" t="s">
        <v>126</v>
      </c>
      <c r="E49" s="6" t="s">
        <v>1083</v>
      </c>
      <c r="F49" s="41" t="s">
        <v>1084</v>
      </c>
      <c r="G49" s="41">
        <v>5</v>
      </c>
      <c r="H49" s="41">
        <v>4</v>
      </c>
      <c r="I49" s="41">
        <v>4</v>
      </c>
      <c r="J49" s="41">
        <v>5</v>
      </c>
      <c r="K49" s="41">
        <v>4</v>
      </c>
      <c r="L49" s="41">
        <v>0</v>
      </c>
      <c r="M49" s="5">
        <v>4.5</v>
      </c>
      <c r="N49" s="41" t="s">
        <v>806</v>
      </c>
      <c r="O49" s="41"/>
      <c r="P49" s="41" t="s">
        <v>1085</v>
      </c>
    </row>
    <row r="50" spans="1:16" ht="32.1" customHeight="1">
      <c r="A50" s="5" t="s">
        <v>137</v>
      </c>
      <c r="B50" s="5" t="s">
        <v>39</v>
      </c>
      <c r="C50" s="5" t="s">
        <v>809</v>
      </c>
      <c r="D50" s="6" t="s">
        <v>138</v>
      </c>
      <c r="E50" s="6" t="s">
        <v>1086</v>
      </c>
      <c r="F50" s="41" t="s">
        <v>1087</v>
      </c>
      <c r="G50" s="41">
        <v>5</v>
      </c>
      <c r="H50" s="41">
        <v>4</v>
      </c>
      <c r="I50" s="41">
        <v>4</v>
      </c>
      <c r="J50" s="41">
        <v>4</v>
      </c>
      <c r="K50" s="41">
        <v>4</v>
      </c>
      <c r="L50" s="41">
        <v>0</v>
      </c>
      <c r="M50" s="5">
        <v>4.3499999999999996</v>
      </c>
      <c r="N50" s="41" t="s">
        <v>806</v>
      </c>
      <c r="O50" s="41"/>
      <c r="P50" s="41" t="s">
        <v>1088</v>
      </c>
    </row>
    <row r="51" spans="1:16" ht="32.1" customHeight="1">
      <c r="A51" s="82" t="s">
        <v>247</v>
      </c>
      <c r="B51" s="5" t="s">
        <v>248</v>
      </c>
      <c r="C51" s="5" t="s">
        <v>796</v>
      </c>
      <c r="D51" s="6" t="s">
        <v>249</v>
      </c>
      <c r="E51" s="6" t="s">
        <v>1094</v>
      </c>
      <c r="F51" s="41" t="s">
        <v>1095</v>
      </c>
      <c r="G51" s="41">
        <v>3</v>
      </c>
      <c r="H51" s="41">
        <v>4</v>
      </c>
      <c r="I51" s="41">
        <v>5</v>
      </c>
      <c r="J51" s="41">
        <v>4</v>
      </c>
      <c r="K51" s="41">
        <v>3</v>
      </c>
      <c r="L51" s="41">
        <v>0</v>
      </c>
      <c r="M51" s="5">
        <v>3.8</v>
      </c>
      <c r="N51" s="41" t="s">
        <v>811</v>
      </c>
      <c r="O51" s="41"/>
      <c r="P51" s="41" t="s">
        <v>1096</v>
      </c>
    </row>
    <row r="52" spans="1:16" ht="15.95" customHeight="1">
      <c r="A52" s="5" t="s">
        <v>1097</v>
      </c>
      <c r="B52" s="5" t="s">
        <v>72</v>
      </c>
      <c r="C52" s="5" t="s">
        <v>796</v>
      </c>
      <c r="D52" s="6" t="s">
        <v>1098</v>
      </c>
      <c r="E52" s="6" t="s">
        <v>1099</v>
      </c>
      <c r="F52" s="41" t="s">
        <v>1100</v>
      </c>
      <c r="G52" s="41">
        <v>3</v>
      </c>
      <c r="H52" s="41">
        <v>5</v>
      </c>
      <c r="I52" s="41">
        <v>5</v>
      </c>
      <c r="J52" s="41">
        <v>5</v>
      </c>
      <c r="K52" s="41">
        <v>5</v>
      </c>
      <c r="L52" s="41">
        <v>0</v>
      </c>
      <c r="M52" s="5">
        <v>4.3</v>
      </c>
      <c r="N52" s="41" t="s">
        <v>806</v>
      </c>
      <c r="O52" s="41"/>
      <c r="P52" s="41" t="s">
        <v>1101</v>
      </c>
    </row>
    <row r="53" spans="1:16" ht="32.1" customHeight="1">
      <c r="A53" s="5" t="s">
        <v>1102</v>
      </c>
      <c r="B53" s="5" t="s">
        <v>72</v>
      </c>
      <c r="C53" s="5" t="s">
        <v>796</v>
      </c>
      <c r="D53" s="6" t="s">
        <v>1098</v>
      </c>
      <c r="E53" s="6" t="s">
        <v>1099</v>
      </c>
      <c r="F53" s="41" t="s">
        <v>1103</v>
      </c>
      <c r="G53" s="41">
        <v>3</v>
      </c>
      <c r="H53" s="41">
        <v>5</v>
      </c>
      <c r="I53" s="41">
        <v>5</v>
      </c>
      <c r="J53" s="41">
        <v>4</v>
      </c>
      <c r="K53" s="41">
        <v>4</v>
      </c>
      <c r="L53" s="41">
        <v>0</v>
      </c>
      <c r="M53" s="5">
        <v>4.0999999999999996</v>
      </c>
      <c r="N53" s="41" t="s">
        <v>806</v>
      </c>
      <c r="O53" s="41"/>
      <c r="P53" s="41" t="s">
        <v>1104</v>
      </c>
    </row>
    <row r="54" spans="1:16" ht="32.1" customHeight="1">
      <c r="A54" s="5" t="s">
        <v>1105</v>
      </c>
      <c r="B54" s="5" t="s">
        <v>72</v>
      </c>
      <c r="C54" s="5" t="s">
        <v>796</v>
      </c>
      <c r="D54" s="6" t="s">
        <v>1098</v>
      </c>
      <c r="E54" s="6" t="s">
        <v>1099</v>
      </c>
      <c r="F54" s="41" t="s">
        <v>1106</v>
      </c>
      <c r="G54" s="41">
        <v>3</v>
      </c>
      <c r="H54" s="41">
        <v>4</v>
      </c>
      <c r="I54" s="41">
        <v>5</v>
      </c>
      <c r="J54" s="41">
        <v>4</v>
      </c>
      <c r="K54" s="41">
        <v>4</v>
      </c>
      <c r="L54" s="41">
        <v>0</v>
      </c>
      <c r="M54" s="5">
        <v>3.85</v>
      </c>
      <c r="N54" s="41" t="s">
        <v>811</v>
      </c>
      <c r="O54" s="41"/>
      <c r="P54" s="41" t="s">
        <v>1107</v>
      </c>
    </row>
    <row r="55" spans="1:16" ht="32.1" customHeight="1">
      <c r="A55" s="5" t="s">
        <v>133</v>
      </c>
      <c r="B55" s="5" t="s">
        <v>39</v>
      </c>
      <c r="C55" s="5" t="s">
        <v>809</v>
      </c>
      <c r="D55" s="6" t="s">
        <v>134</v>
      </c>
      <c r="E55" s="6" t="s">
        <v>1113</v>
      </c>
      <c r="F55" s="41" t="s">
        <v>135</v>
      </c>
      <c r="G55" s="41">
        <v>5</v>
      </c>
      <c r="H55" s="41">
        <v>5</v>
      </c>
      <c r="I55" s="41">
        <v>4</v>
      </c>
      <c r="J55" s="41">
        <v>3</v>
      </c>
      <c r="K55" s="41">
        <v>3</v>
      </c>
      <c r="L55" s="41">
        <v>0</v>
      </c>
      <c r="M55" s="5">
        <v>4.4000000000000004</v>
      </c>
      <c r="N55" s="41" t="s">
        <v>806</v>
      </c>
      <c r="O55" s="41"/>
      <c r="P55" s="41" t="s">
        <v>1114</v>
      </c>
    </row>
    <row r="56" spans="1:16" s="66" customFormat="1" ht="15.95" customHeight="1">
      <c r="A56" s="5" t="s">
        <v>1115</v>
      </c>
      <c r="B56" s="5" t="s">
        <v>39</v>
      </c>
      <c r="C56" s="5" t="s">
        <v>809</v>
      </c>
      <c r="D56" s="6" t="s">
        <v>1116</v>
      </c>
      <c r="E56" s="6" t="s">
        <v>1117</v>
      </c>
      <c r="F56" s="41" t="s">
        <v>1118</v>
      </c>
      <c r="G56" s="41">
        <v>5</v>
      </c>
      <c r="H56" s="41">
        <v>5</v>
      </c>
      <c r="I56" s="41">
        <v>4</v>
      </c>
      <c r="J56" s="41">
        <v>5</v>
      </c>
      <c r="K56" s="41">
        <v>5</v>
      </c>
      <c r="L56" s="41">
        <v>0</v>
      </c>
      <c r="M56" s="5">
        <v>4.8</v>
      </c>
      <c r="N56" s="41" t="s">
        <v>806</v>
      </c>
      <c r="O56" s="41"/>
      <c r="P56" s="41" t="s">
        <v>1119</v>
      </c>
    </row>
    <row r="57" spans="1:16" ht="32.1" customHeight="1">
      <c r="A57" s="5" t="s">
        <v>175</v>
      </c>
      <c r="B57" s="5" t="s">
        <v>39</v>
      </c>
      <c r="C57" s="5" t="s">
        <v>809</v>
      </c>
      <c r="D57" s="6" t="s">
        <v>176</v>
      </c>
      <c r="E57" s="6" t="s">
        <v>1086</v>
      </c>
      <c r="F57" s="41" t="s">
        <v>177</v>
      </c>
      <c r="G57" s="41">
        <v>4</v>
      </c>
      <c r="H57" s="41">
        <v>5</v>
      </c>
      <c r="I57" s="41">
        <v>4</v>
      </c>
      <c r="J57" s="41">
        <v>3</v>
      </c>
      <c r="K57" s="41">
        <v>3</v>
      </c>
      <c r="L57" s="41">
        <v>0</v>
      </c>
      <c r="M57" s="5">
        <v>4.05</v>
      </c>
      <c r="N57" s="41" t="s">
        <v>806</v>
      </c>
      <c r="O57" s="41"/>
      <c r="P57" s="41" t="s">
        <v>1120</v>
      </c>
    </row>
    <row r="58" spans="1:16" ht="15.95" customHeight="1">
      <c r="A58" s="5" t="s">
        <v>186</v>
      </c>
      <c r="B58" s="5" t="s">
        <v>39</v>
      </c>
      <c r="C58" s="5" t="s">
        <v>809</v>
      </c>
      <c r="D58" s="6" t="s">
        <v>187</v>
      </c>
      <c r="E58" s="6" t="s">
        <v>1121</v>
      </c>
      <c r="F58" s="41" t="s">
        <v>1122</v>
      </c>
      <c r="G58" s="41">
        <v>3</v>
      </c>
      <c r="H58" s="41">
        <v>5</v>
      </c>
      <c r="I58" s="41">
        <v>4</v>
      </c>
      <c r="J58" s="41">
        <v>4</v>
      </c>
      <c r="K58" s="41">
        <v>3</v>
      </c>
      <c r="L58" s="41">
        <v>0</v>
      </c>
      <c r="M58" s="5">
        <v>3.85</v>
      </c>
      <c r="N58" s="41" t="s">
        <v>811</v>
      </c>
      <c r="O58" s="41"/>
      <c r="P58" s="41" t="s">
        <v>1123</v>
      </c>
    </row>
    <row r="59" spans="1:16" ht="32.1" customHeight="1">
      <c r="A59" s="5" t="s">
        <v>1124</v>
      </c>
      <c r="B59" s="5" t="s">
        <v>39</v>
      </c>
      <c r="C59" s="5" t="s">
        <v>809</v>
      </c>
      <c r="D59" s="6" t="s">
        <v>1042</v>
      </c>
      <c r="E59" s="6" t="s">
        <v>1125</v>
      </c>
      <c r="F59" s="41" t="s">
        <v>1126</v>
      </c>
      <c r="G59" s="41">
        <v>3</v>
      </c>
      <c r="H59" s="41">
        <v>5</v>
      </c>
      <c r="I59" s="41">
        <v>4</v>
      </c>
      <c r="J59" s="41">
        <v>3</v>
      </c>
      <c r="K59" s="41">
        <v>3</v>
      </c>
      <c r="L59" s="41">
        <v>0</v>
      </c>
      <c r="M59" s="5">
        <v>3.7</v>
      </c>
      <c r="N59" s="41" t="s">
        <v>811</v>
      </c>
      <c r="O59" s="41"/>
      <c r="P59" s="41" t="s">
        <v>1127</v>
      </c>
    </row>
    <row r="60" spans="1:16" ht="32.1" customHeight="1">
      <c r="A60" s="65" t="s">
        <v>211</v>
      </c>
      <c r="B60" s="65" t="s">
        <v>26</v>
      </c>
      <c r="C60" s="65" t="s">
        <v>802</v>
      </c>
      <c r="D60" s="65" t="s">
        <v>44</v>
      </c>
      <c r="E60" s="65" t="s">
        <v>1128</v>
      </c>
      <c r="F60" s="65" t="s">
        <v>375</v>
      </c>
      <c r="G60" s="65">
        <v>5</v>
      </c>
      <c r="H60" s="65">
        <v>5</v>
      </c>
      <c r="I60" s="65">
        <v>3</v>
      </c>
      <c r="J60" s="65">
        <v>4</v>
      </c>
      <c r="K60" s="65">
        <v>4</v>
      </c>
      <c r="L60" s="65">
        <v>0</v>
      </c>
      <c r="M60" s="65">
        <v>4.4000000000000004</v>
      </c>
      <c r="N60" s="65" t="s">
        <v>806</v>
      </c>
      <c r="O60" s="65"/>
      <c r="P60" s="65" t="s">
        <v>1129</v>
      </c>
    </row>
    <row r="61" spans="1:16" ht="32.1" customHeight="1">
      <c r="A61" s="65" t="s">
        <v>207</v>
      </c>
      <c r="B61" s="65" t="s">
        <v>203</v>
      </c>
      <c r="C61" s="65" t="s">
        <v>802</v>
      </c>
      <c r="D61" s="65" t="s">
        <v>208</v>
      </c>
      <c r="E61" s="65" t="s">
        <v>1130</v>
      </c>
      <c r="F61" s="65" t="s">
        <v>209</v>
      </c>
      <c r="G61" s="65">
        <v>5</v>
      </c>
      <c r="H61" s="65">
        <v>5</v>
      </c>
      <c r="I61" s="65">
        <v>3</v>
      </c>
      <c r="J61" s="65">
        <v>5</v>
      </c>
      <c r="K61" s="65">
        <v>4</v>
      </c>
      <c r="L61" s="65">
        <v>0</v>
      </c>
      <c r="M61" s="65">
        <v>4.55</v>
      </c>
      <c r="N61" s="65" t="s">
        <v>806</v>
      </c>
      <c r="O61" s="65"/>
      <c r="P61" s="65" t="s">
        <v>1131</v>
      </c>
    </row>
    <row r="62" spans="1:16" ht="32.1" customHeight="1">
      <c r="A62" s="65" t="s">
        <v>230</v>
      </c>
      <c r="B62" s="65" t="s">
        <v>231</v>
      </c>
      <c r="C62" s="65" t="s">
        <v>1132</v>
      </c>
      <c r="D62" s="65" t="s">
        <v>232</v>
      </c>
      <c r="E62" s="65" t="s">
        <v>1133</v>
      </c>
      <c r="F62" s="65" t="s">
        <v>233</v>
      </c>
      <c r="G62" s="65">
        <v>5</v>
      </c>
      <c r="H62" s="65">
        <v>5</v>
      </c>
      <c r="I62" s="65">
        <v>3</v>
      </c>
      <c r="J62" s="65">
        <v>4</v>
      </c>
      <c r="K62" s="65">
        <v>4</v>
      </c>
      <c r="L62" s="65">
        <v>0</v>
      </c>
      <c r="M62" s="65">
        <v>4.4000000000000004</v>
      </c>
      <c r="N62" s="65" t="s">
        <v>806</v>
      </c>
      <c r="O62" s="65"/>
      <c r="P62" s="65" t="s">
        <v>1134</v>
      </c>
    </row>
    <row r="63" spans="1:16" ht="32.1" customHeight="1">
      <c r="A63" s="65" t="s">
        <v>235</v>
      </c>
      <c r="B63" s="65" t="s">
        <v>231</v>
      </c>
      <c r="C63" s="65" t="s">
        <v>1132</v>
      </c>
      <c r="D63" s="65" t="s">
        <v>236</v>
      </c>
      <c r="E63" s="65" t="s">
        <v>1135</v>
      </c>
      <c r="F63" s="65" t="s">
        <v>1136</v>
      </c>
      <c r="G63" s="65">
        <v>3</v>
      </c>
      <c r="H63" s="65">
        <v>4</v>
      </c>
      <c r="I63" s="65">
        <v>3</v>
      </c>
      <c r="J63" s="65">
        <v>4</v>
      </c>
      <c r="K63" s="65">
        <v>3</v>
      </c>
      <c r="L63" s="65">
        <v>0</v>
      </c>
      <c r="M63" s="65">
        <v>3.4</v>
      </c>
      <c r="N63" s="65" t="s">
        <v>811</v>
      </c>
      <c r="O63" s="65"/>
      <c r="P63" s="65" t="s">
        <v>1137</v>
      </c>
    </row>
    <row r="64" spans="1:16" ht="32.1" customHeight="1">
      <c r="A64" s="42" t="s">
        <v>1138</v>
      </c>
      <c r="B64" s="42" t="s">
        <v>53</v>
      </c>
      <c r="C64" s="42" t="s">
        <v>802</v>
      </c>
      <c r="D64" s="42" t="s">
        <v>44</v>
      </c>
      <c r="E64" s="42" t="s">
        <v>1139</v>
      </c>
      <c r="F64" s="42" t="s">
        <v>54</v>
      </c>
      <c r="G64" s="42">
        <v>4</v>
      </c>
      <c r="H64" s="42">
        <v>4</v>
      </c>
      <c r="I64" s="42">
        <v>4</v>
      </c>
      <c r="J64" s="42">
        <v>4</v>
      </c>
      <c r="K64" s="42">
        <v>3</v>
      </c>
      <c r="L64" s="42">
        <v>0</v>
      </c>
      <c r="M64" s="42">
        <v>3.95</v>
      </c>
      <c r="N64" s="42" t="s">
        <v>811</v>
      </c>
      <c r="O64" s="42"/>
      <c r="P64" s="42" t="s">
        <v>1140</v>
      </c>
    </row>
    <row r="65" spans="1:16" ht="32.1" customHeight="1">
      <c r="A65" s="65" t="s">
        <v>202</v>
      </c>
      <c r="B65" s="65" t="s">
        <v>203</v>
      </c>
      <c r="C65" s="65" t="s">
        <v>802</v>
      </c>
      <c r="D65" s="65" t="s">
        <v>204</v>
      </c>
      <c r="E65" s="65" t="s">
        <v>1141</v>
      </c>
      <c r="F65" s="65" t="s">
        <v>1142</v>
      </c>
      <c r="G65" s="65">
        <v>5</v>
      </c>
      <c r="H65" s="65">
        <v>5</v>
      </c>
      <c r="I65" s="65">
        <v>3</v>
      </c>
      <c r="J65" s="65">
        <v>5</v>
      </c>
      <c r="K65" s="65">
        <v>4</v>
      </c>
      <c r="L65" s="65">
        <v>0</v>
      </c>
      <c r="M65" s="65">
        <v>4.55</v>
      </c>
      <c r="N65" s="65" t="s">
        <v>806</v>
      </c>
      <c r="O65" s="65"/>
      <c r="P65" s="65" t="s">
        <v>1143</v>
      </c>
    </row>
    <row r="66" spans="1:16" ht="32.1" customHeight="1">
      <c r="A66" s="65" t="s">
        <v>214</v>
      </c>
      <c r="B66" s="65" t="s">
        <v>203</v>
      </c>
      <c r="C66" s="65" t="s">
        <v>802</v>
      </c>
      <c r="D66" s="65" t="s">
        <v>204</v>
      </c>
      <c r="E66" s="65" t="s">
        <v>203</v>
      </c>
      <c r="F66" s="65" t="s">
        <v>215</v>
      </c>
      <c r="G66" s="65">
        <v>5</v>
      </c>
      <c r="H66" s="65">
        <v>5</v>
      </c>
      <c r="I66" s="65">
        <v>3</v>
      </c>
      <c r="J66" s="65">
        <v>3</v>
      </c>
      <c r="K66" s="65">
        <v>3</v>
      </c>
      <c r="L66" s="65">
        <v>0</v>
      </c>
      <c r="M66" s="65">
        <v>4.2</v>
      </c>
      <c r="N66" s="65" t="s">
        <v>806</v>
      </c>
      <c r="O66" s="65"/>
      <c r="P66" s="65" t="s">
        <v>1144</v>
      </c>
    </row>
    <row r="67" spans="1:16" ht="15.95" customHeight="1">
      <c r="A67" s="65" t="s">
        <v>1145</v>
      </c>
      <c r="B67" s="65" t="s">
        <v>39</v>
      </c>
      <c r="C67" s="65" t="s">
        <v>809</v>
      </c>
      <c r="D67" s="65" t="s">
        <v>1042</v>
      </c>
      <c r="E67" s="65" t="s">
        <v>1146</v>
      </c>
      <c r="F67" s="65" t="s">
        <v>1147</v>
      </c>
      <c r="G67" s="65">
        <v>3</v>
      </c>
      <c r="H67" s="65">
        <v>5</v>
      </c>
      <c r="I67" s="65">
        <v>4</v>
      </c>
      <c r="J67" s="65">
        <v>3</v>
      </c>
      <c r="K67" s="65">
        <v>3</v>
      </c>
      <c r="L67" s="65">
        <v>0</v>
      </c>
      <c r="M67" s="65">
        <v>3.7</v>
      </c>
      <c r="N67" s="65" t="s">
        <v>811</v>
      </c>
      <c r="O67" s="65"/>
      <c r="P67" s="65" t="s">
        <v>1148</v>
      </c>
    </row>
    <row r="68" spans="1:16" ht="32.1" customHeight="1">
      <c r="A68" s="65" t="s">
        <v>217</v>
      </c>
      <c r="B68" s="65" t="s">
        <v>203</v>
      </c>
      <c r="C68" s="65" t="s">
        <v>802</v>
      </c>
      <c r="D68" s="65" t="s">
        <v>208</v>
      </c>
      <c r="E68" s="65" t="s">
        <v>1149</v>
      </c>
      <c r="F68" s="65" t="s">
        <v>218</v>
      </c>
      <c r="G68" s="65">
        <v>5</v>
      </c>
      <c r="H68" s="65">
        <v>5</v>
      </c>
      <c r="I68" s="65">
        <v>3</v>
      </c>
      <c r="J68" s="65">
        <v>3</v>
      </c>
      <c r="K68" s="65">
        <v>3</v>
      </c>
      <c r="L68" s="65">
        <v>0</v>
      </c>
      <c r="M68" s="65">
        <v>4.2</v>
      </c>
      <c r="N68" s="65" t="s">
        <v>806</v>
      </c>
      <c r="O68" s="65"/>
      <c r="P68" s="65" t="s">
        <v>1150</v>
      </c>
    </row>
    <row r="69" spans="1:16" ht="15.95" customHeight="1">
      <c r="A69" s="5" t="s">
        <v>239</v>
      </c>
      <c r="B69" s="5" t="s">
        <v>60</v>
      </c>
      <c r="C69" s="5" t="s">
        <v>796</v>
      </c>
      <c r="D69" s="6" t="s">
        <v>240</v>
      </c>
      <c r="E69" s="6" t="s">
        <v>1151</v>
      </c>
      <c r="F69" s="41" t="s">
        <v>41</v>
      </c>
      <c r="G69" s="41">
        <v>3</v>
      </c>
      <c r="H69" s="41">
        <v>5</v>
      </c>
      <c r="I69" s="41">
        <v>5</v>
      </c>
      <c r="J69" s="41">
        <v>4</v>
      </c>
      <c r="K69" s="41">
        <v>4</v>
      </c>
      <c r="L69" s="41">
        <v>0</v>
      </c>
      <c r="M69" s="5">
        <v>4.0999999999999996</v>
      </c>
      <c r="N69" s="41" t="s">
        <v>806</v>
      </c>
      <c r="O69" s="41"/>
      <c r="P69" s="41" t="s">
        <v>1152</v>
      </c>
    </row>
    <row r="70" spans="1:16" ht="15.95" customHeight="1">
      <c r="A70" s="5" t="s">
        <v>1153</v>
      </c>
      <c r="B70" s="5" t="s">
        <v>39</v>
      </c>
      <c r="C70" s="5" t="s">
        <v>809</v>
      </c>
      <c r="D70" s="6" t="s">
        <v>1154</v>
      </c>
      <c r="E70" s="6" t="s">
        <v>1155</v>
      </c>
      <c r="F70" s="41" t="s">
        <v>1156</v>
      </c>
      <c r="G70" s="41">
        <v>3</v>
      </c>
      <c r="H70" s="41">
        <v>5</v>
      </c>
      <c r="I70" s="41">
        <v>4</v>
      </c>
      <c r="J70" s="41">
        <v>5</v>
      </c>
      <c r="K70" s="41">
        <v>5</v>
      </c>
      <c r="L70" s="41">
        <v>0</v>
      </c>
      <c r="M70" s="5">
        <v>4.0999999999999996</v>
      </c>
      <c r="N70" s="41" t="s">
        <v>806</v>
      </c>
      <c r="O70" s="41"/>
      <c r="P70" s="41" t="s">
        <v>1157</v>
      </c>
    </row>
    <row r="71" spans="1:16" ht="32.1" customHeight="1"/>
    <row r="72" spans="1:16" s="66" customFormat="1" ht="32.1" customHeight="1"/>
    <row r="73" spans="1:16" s="66" customFormat="1" ht="32.1" customHeight="1"/>
    <row r="74" spans="1:16" s="66" customFormat="1" ht="15.95" customHeight="1"/>
    <row r="75" spans="1:16" s="66" customFormat="1" ht="32.1" customHeight="1"/>
    <row r="76" spans="1:16" s="43" customFormat="1" ht="15.95" customHeight="1"/>
    <row r="77" spans="1:16" s="66" customFormat="1" ht="32.1" customHeight="1"/>
    <row r="78" spans="1:16" s="66" customFormat="1" ht="32.1" customHeight="1"/>
    <row r="79" spans="1:16" s="66" customFormat="1" ht="32.1" customHeight="1"/>
    <row r="80" spans="1:16" s="66" customFormat="1" ht="15.95" customHeight="1"/>
    <row r="81" ht="32.1" customHeight="1"/>
    <row r="82" ht="32.1" customHeight="1"/>
  </sheetData>
  <conditionalFormatting sqref="M5:M82">
    <cfRule type="colorScale" priority="1">
      <colorScale>
        <cfvo type="num" val="0"/>
        <cfvo type="num" val="2.5"/>
        <cfvo type="num" val="5"/>
        <color rgb="FFFEE2E2"/>
        <color rgb="FFFEF9C3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5"/>
  <sheetViews>
    <sheetView showGridLines="0" zoomScale="115" zoomScaleNormal="115" workbookViewId="0">
      <pane ySplit="1" topLeftCell="C10" activePane="bottomLeft" state="frozen"/>
      <selection pane="bottomLeft" activeCell="C10" sqref="C10"/>
    </sheetView>
  </sheetViews>
  <sheetFormatPr defaultColWidth="8.85546875" defaultRowHeight="14.1"/>
  <cols>
    <col min="1" max="1" width="56.42578125" style="17" customWidth="1"/>
    <col min="2" max="2" width="34" style="18" customWidth="1"/>
    <col min="3" max="3" width="57.85546875" style="18" customWidth="1"/>
    <col min="4" max="5" width="34" style="18" customWidth="1"/>
    <col min="6" max="6" width="8.85546875" style="18" customWidth="1"/>
    <col min="7" max="16384" width="8.85546875" style="18"/>
  </cols>
  <sheetData>
    <row r="1" spans="1:5" ht="24" customHeight="1">
      <c r="A1" s="158" t="s">
        <v>1164</v>
      </c>
      <c r="B1" s="159"/>
      <c r="C1" s="159"/>
      <c r="D1" s="159"/>
      <c r="E1" s="159"/>
    </row>
    <row r="3" spans="1:5" ht="15" customHeight="1">
      <c r="A3" s="19" t="s">
        <v>1165</v>
      </c>
      <c r="B3" s="19" t="s">
        <v>1166</v>
      </c>
      <c r="C3" s="19" t="s">
        <v>1167</v>
      </c>
      <c r="D3" s="19" t="s">
        <v>1168</v>
      </c>
    </row>
    <row r="4" spans="1:5" ht="30" customHeight="1">
      <c r="A4" s="20" t="s">
        <v>1169</v>
      </c>
      <c r="B4" s="21">
        <v>0</v>
      </c>
      <c r="C4" s="1" t="s">
        <v>1170</v>
      </c>
      <c r="D4" s="1" t="s">
        <v>1171</v>
      </c>
    </row>
    <row r="5" spans="1:5" ht="45.75" customHeight="1">
      <c r="A5" s="22"/>
      <c r="B5" s="21">
        <v>1</v>
      </c>
      <c r="C5" s="1" t="s">
        <v>1172</v>
      </c>
      <c r="D5" s="155" t="s">
        <v>1173</v>
      </c>
    </row>
    <row r="6" spans="1:5" ht="45.75" customHeight="1">
      <c r="A6" s="22"/>
      <c r="B6" s="21">
        <v>2</v>
      </c>
      <c r="C6" s="1" t="s">
        <v>1174</v>
      </c>
      <c r="D6" s="167"/>
    </row>
    <row r="7" spans="1:5" ht="45.75" customHeight="1">
      <c r="A7" s="22"/>
      <c r="B7" s="21">
        <v>3</v>
      </c>
      <c r="C7" s="1" t="s">
        <v>1175</v>
      </c>
      <c r="D7" s="155" t="s">
        <v>1176</v>
      </c>
    </row>
    <row r="8" spans="1:5" ht="45.75" customHeight="1">
      <c r="A8" s="22"/>
      <c r="B8" s="21">
        <v>4</v>
      </c>
      <c r="C8" s="1" t="s">
        <v>1177</v>
      </c>
      <c r="D8" s="167"/>
    </row>
    <row r="9" spans="1:5" ht="45.75" customHeight="1">
      <c r="A9" s="23"/>
      <c r="B9" s="21">
        <v>5</v>
      </c>
      <c r="C9" s="1" t="s">
        <v>1178</v>
      </c>
      <c r="D9" s="1" t="s">
        <v>1179</v>
      </c>
    </row>
    <row r="11" spans="1:5" ht="30" customHeight="1">
      <c r="A11" s="24" t="s">
        <v>1180</v>
      </c>
      <c r="B11" s="25">
        <v>0</v>
      </c>
      <c r="C11" s="1" t="s">
        <v>1181</v>
      </c>
      <c r="D11" s="1" t="s">
        <v>1182</v>
      </c>
    </row>
    <row r="12" spans="1:5" ht="30.75" customHeight="1">
      <c r="A12" s="26"/>
      <c r="B12" s="25">
        <v>1</v>
      </c>
      <c r="C12" s="1" t="s">
        <v>1183</v>
      </c>
      <c r="D12" s="155" t="s">
        <v>1184</v>
      </c>
    </row>
    <row r="13" spans="1:5" ht="30.75" customHeight="1">
      <c r="A13" s="26"/>
      <c r="B13" s="25">
        <v>2</v>
      </c>
      <c r="C13" s="1" t="s">
        <v>1185</v>
      </c>
      <c r="D13" s="167"/>
    </row>
    <row r="14" spans="1:5" ht="45.75" customHeight="1">
      <c r="A14" s="26"/>
      <c r="B14" s="25">
        <v>3</v>
      </c>
      <c r="C14" s="1" t="s">
        <v>1186</v>
      </c>
      <c r="D14" s="155" t="s">
        <v>1187</v>
      </c>
    </row>
    <row r="15" spans="1:5" ht="60.75" customHeight="1">
      <c r="A15" s="26"/>
      <c r="B15" s="25">
        <v>4</v>
      </c>
      <c r="C15" s="1" t="s">
        <v>1188</v>
      </c>
      <c r="D15" s="167"/>
    </row>
    <row r="16" spans="1:5" ht="60.75" customHeight="1">
      <c r="A16" s="27"/>
      <c r="B16" s="25">
        <v>5</v>
      </c>
      <c r="C16" s="1" t="s">
        <v>1189</v>
      </c>
      <c r="D16" s="1" t="s">
        <v>1190</v>
      </c>
    </row>
    <row r="18" spans="1:4" ht="45.75" customHeight="1">
      <c r="A18" s="28" t="s">
        <v>1191</v>
      </c>
      <c r="B18" s="21">
        <v>0</v>
      </c>
      <c r="C18" s="1" t="s">
        <v>1192</v>
      </c>
      <c r="D18" s="1" t="s">
        <v>1193</v>
      </c>
    </row>
    <row r="19" spans="1:4" ht="30.75" customHeight="1">
      <c r="A19" s="29"/>
      <c r="B19" s="21">
        <v>1</v>
      </c>
      <c r="C19" s="1" t="s">
        <v>1194</v>
      </c>
      <c r="D19" s="155" t="s">
        <v>1195</v>
      </c>
    </row>
    <row r="20" spans="1:4" ht="30.75" customHeight="1">
      <c r="A20" s="29"/>
      <c r="B20" s="21">
        <v>2</v>
      </c>
      <c r="C20" s="1" t="s">
        <v>1196</v>
      </c>
      <c r="D20" s="167"/>
    </row>
    <row r="21" spans="1:4" ht="45.75" customHeight="1">
      <c r="A21" s="29"/>
      <c r="B21" s="21">
        <v>3</v>
      </c>
      <c r="C21" s="1" t="s">
        <v>1197</v>
      </c>
      <c r="D21" s="155" t="s">
        <v>1198</v>
      </c>
    </row>
    <row r="22" spans="1:4" ht="45.75" customHeight="1">
      <c r="A22" s="29"/>
      <c r="B22" s="21">
        <v>4</v>
      </c>
      <c r="C22" s="1" t="s">
        <v>1199</v>
      </c>
      <c r="D22" s="167"/>
    </row>
    <row r="23" spans="1:4" ht="60.75" customHeight="1">
      <c r="A23" s="30"/>
      <c r="B23" s="21">
        <v>5</v>
      </c>
      <c r="C23" s="1" t="s">
        <v>1200</v>
      </c>
      <c r="D23" s="1" t="s">
        <v>1198</v>
      </c>
    </row>
    <row r="24" spans="1:4">
      <c r="A24" s="31"/>
      <c r="B24" s="1"/>
      <c r="C24" s="1"/>
    </row>
    <row r="25" spans="1:4" ht="30" customHeight="1">
      <c r="A25" s="32" t="s">
        <v>1201</v>
      </c>
      <c r="B25" s="25">
        <v>0</v>
      </c>
      <c r="C25" s="1" t="s">
        <v>1202</v>
      </c>
    </row>
    <row r="26" spans="1:4" ht="30.75" customHeight="1">
      <c r="A26" s="33"/>
      <c r="B26" s="25">
        <v>1</v>
      </c>
      <c r="C26" s="155" t="s">
        <v>1203</v>
      </c>
    </row>
    <row r="27" spans="1:4">
      <c r="A27" s="33"/>
      <c r="B27" s="25">
        <v>2</v>
      </c>
      <c r="C27" s="167"/>
    </row>
    <row r="28" spans="1:4" ht="45.75" customHeight="1">
      <c r="A28" s="33"/>
      <c r="B28" s="25">
        <v>3</v>
      </c>
      <c r="C28" s="155" t="s">
        <v>1204</v>
      </c>
    </row>
    <row r="29" spans="1:4">
      <c r="A29" s="33"/>
      <c r="B29" s="25">
        <v>4</v>
      </c>
      <c r="C29" s="167"/>
    </row>
    <row r="30" spans="1:4" ht="45.75" customHeight="1">
      <c r="A30" s="33"/>
      <c r="B30" s="25">
        <v>5</v>
      </c>
      <c r="C30" s="1" t="s">
        <v>1205</v>
      </c>
    </row>
    <row r="31" spans="1:4">
      <c r="A31" s="1"/>
      <c r="B31" s="1"/>
      <c r="C31" s="1"/>
    </row>
    <row r="32" spans="1:4" ht="30" customHeight="1">
      <c r="A32" s="157" t="s">
        <v>1206</v>
      </c>
      <c r="B32" s="21">
        <v>0</v>
      </c>
      <c r="C32" s="1" t="s">
        <v>1207</v>
      </c>
    </row>
    <row r="33" spans="1:3" ht="30.75" customHeight="1">
      <c r="A33" s="168"/>
      <c r="B33" s="21">
        <v>1</v>
      </c>
      <c r="C33" s="155" t="s">
        <v>1208</v>
      </c>
    </row>
    <row r="34" spans="1:3">
      <c r="A34" s="168"/>
      <c r="B34" s="21">
        <v>2</v>
      </c>
      <c r="C34" s="167"/>
    </row>
    <row r="35" spans="1:3" ht="30.75" customHeight="1">
      <c r="A35" s="168"/>
      <c r="B35" s="21">
        <v>3</v>
      </c>
      <c r="C35" s="155" t="s">
        <v>1209</v>
      </c>
    </row>
    <row r="36" spans="1:3">
      <c r="A36" s="168"/>
      <c r="B36" s="21">
        <v>4</v>
      </c>
      <c r="C36" s="167"/>
    </row>
    <row r="37" spans="1:3" ht="45.75" customHeight="1">
      <c r="A37" s="169"/>
      <c r="B37" s="21">
        <v>5</v>
      </c>
      <c r="C37" s="1" t="s">
        <v>1210</v>
      </c>
    </row>
    <row r="38" spans="1:3">
      <c r="A38" s="34"/>
      <c r="B38" s="17"/>
      <c r="C38" s="1"/>
    </row>
    <row r="39" spans="1:3" ht="30" customHeight="1">
      <c r="A39" s="156" t="s">
        <v>1211</v>
      </c>
      <c r="B39" s="35">
        <v>0</v>
      </c>
      <c r="C39" s="1" t="s">
        <v>1212</v>
      </c>
    </row>
    <row r="40" spans="1:3" ht="30" customHeight="1">
      <c r="A40" s="170"/>
      <c r="B40" s="35">
        <v>-1</v>
      </c>
      <c r="C40" s="1" t="s">
        <v>1213</v>
      </c>
    </row>
    <row r="41" spans="1:3" ht="45.75" customHeight="1">
      <c r="A41" s="167"/>
      <c r="B41" s="35">
        <v>-2</v>
      </c>
      <c r="C41" s="1" t="s">
        <v>1214</v>
      </c>
    </row>
    <row r="42" spans="1:3">
      <c r="A42" s="1"/>
      <c r="B42" s="1"/>
      <c r="C42" s="1"/>
    </row>
    <row r="43" spans="1:3" ht="60.75" customHeight="1">
      <c r="A43" s="36" t="s">
        <v>1215</v>
      </c>
      <c r="B43" s="36" t="s">
        <v>1216</v>
      </c>
      <c r="C43" s="36" t="s">
        <v>1217</v>
      </c>
    </row>
    <row r="44" spans="1:3" ht="45.75" customHeight="1">
      <c r="A44" s="36" t="s">
        <v>1215</v>
      </c>
      <c r="B44" s="36" t="s">
        <v>1218</v>
      </c>
      <c r="C44" s="36" t="s">
        <v>1219</v>
      </c>
    </row>
    <row r="45" spans="1:3" ht="45.75" customHeight="1">
      <c r="A45" s="36" t="s">
        <v>1215</v>
      </c>
      <c r="B45" s="36" t="s">
        <v>1220</v>
      </c>
      <c r="C45" s="36" t="s">
        <v>1221</v>
      </c>
    </row>
  </sheetData>
  <mergeCells count="13">
    <mergeCell ref="D7:D8"/>
    <mergeCell ref="D21:D22"/>
    <mergeCell ref="A1:E1"/>
    <mergeCell ref="D12:D13"/>
    <mergeCell ref="D14:D15"/>
    <mergeCell ref="D5:D6"/>
    <mergeCell ref="C35:C36"/>
    <mergeCell ref="A39:A41"/>
    <mergeCell ref="D19:D20"/>
    <mergeCell ref="C33:C34"/>
    <mergeCell ref="C28:C29"/>
    <mergeCell ref="C26:C27"/>
    <mergeCell ref="A32:A3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6"/>
  <sheetViews>
    <sheetView showGridLines="0" zoomScale="115" zoomScaleNormal="115" workbookViewId="0">
      <pane ySplit="5" topLeftCell="D10" activePane="bottomLeft" state="frozen"/>
      <selection pane="bottomLeft" activeCell="D10" sqref="D10"/>
    </sheetView>
  </sheetViews>
  <sheetFormatPr defaultColWidth="8.85546875" defaultRowHeight="15"/>
  <cols>
    <col min="1" max="1" width="6" customWidth="1"/>
    <col min="2" max="2" width="32" customWidth="1"/>
    <col min="3" max="3" width="18" customWidth="1"/>
    <col min="4" max="4" width="16" customWidth="1"/>
    <col min="5" max="5" width="14" customWidth="1"/>
    <col min="6" max="6" width="30" customWidth="1"/>
    <col min="7" max="8" width="12" customWidth="1"/>
  </cols>
  <sheetData>
    <row r="1" spans="1:6" ht="18" customHeight="1">
      <c r="A1" s="161" t="s">
        <v>1222</v>
      </c>
      <c r="B1" s="166"/>
      <c r="C1" s="166"/>
      <c r="D1" s="166"/>
      <c r="E1" s="166"/>
      <c r="F1" s="166"/>
    </row>
    <row r="2" spans="1:6" ht="18" customHeight="1">
      <c r="A2" s="154" t="s">
        <v>1223</v>
      </c>
      <c r="B2" s="166"/>
      <c r="C2" s="166"/>
      <c r="D2" s="166"/>
      <c r="E2" s="166"/>
      <c r="F2" s="166"/>
    </row>
    <row r="3" spans="1:6" ht="18" customHeight="1">
      <c r="A3" s="8" t="s">
        <v>1224</v>
      </c>
      <c r="B3" s="162" t="s">
        <v>1225</v>
      </c>
      <c r="C3" s="166"/>
      <c r="D3" s="166"/>
      <c r="E3" s="166"/>
      <c r="F3" s="166"/>
    </row>
    <row r="4" spans="1:6" ht="27.75" customHeight="1">
      <c r="A4" s="4"/>
      <c r="B4" s="4"/>
      <c r="C4" s="4"/>
      <c r="D4" s="4"/>
      <c r="E4" s="4"/>
      <c r="F4" s="4"/>
    </row>
    <row r="5" spans="1:6" ht="15.75" customHeight="1">
      <c r="A5" s="4" t="s">
        <v>1226</v>
      </c>
      <c r="B5" s="4" t="s">
        <v>2</v>
      </c>
      <c r="C5" s="4" t="s">
        <v>1227</v>
      </c>
      <c r="D5" s="4" t="s">
        <v>3</v>
      </c>
      <c r="E5" s="4" t="s">
        <v>282</v>
      </c>
      <c r="F5" s="4" t="s">
        <v>1228</v>
      </c>
    </row>
    <row r="6" spans="1:6" ht="21.75" customHeight="1">
      <c r="A6" s="160" t="s">
        <v>809</v>
      </c>
      <c r="B6" s="166"/>
      <c r="C6" s="166"/>
      <c r="D6" s="166"/>
      <c r="E6" s="166"/>
      <c r="F6" s="166"/>
    </row>
    <row r="7" spans="1:6" ht="15.75" customHeight="1">
      <c r="A7" s="9">
        <v>4</v>
      </c>
      <c r="B7" s="10" t="s">
        <v>577</v>
      </c>
      <c r="C7" s="11">
        <v>83.21</v>
      </c>
      <c r="D7" s="9" t="s">
        <v>39</v>
      </c>
      <c r="E7" s="9" t="s">
        <v>809</v>
      </c>
      <c r="F7" s="5"/>
    </row>
    <row r="8" spans="1:6" ht="15.75" customHeight="1">
      <c r="A8" s="9">
        <v>5</v>
      </c>
      <c r="B8" s="10" t="s">
        <v>582</v>
      </c>
      <c r="C8" s="11">
        <v>82.03</v>
      </c>
      <c r="D8" s="9" t="s">
        <v>39</v>
      </c>
      <c r="E8" s="9" t="s">
        <v>809</v>
      </c>
      <c r="F8" s="5"/>
    </row>
    <row r="9" spans="1:6" ht="15.75" customHeight="1">
      <c r="A9" s="9">
        <v>6</v>
      </c>
      <c r="B9" s="10" t="s">
        <v>587</v>
      </c>
      <c r="C9" s="11">
        <v>64.95</v>
      </c>
      <c r="D9" s="9" t="s">
        <v>39</v>
      </c>
      <c r="E9" s="9" t="s">
        <v>809</v>
      </c>
      <c r="F9" s="5"/>
    </row>
    <row r="10" spans="1:6" ht="15.75" customHeight="1">
      <c r="A10" s="9">
        <v>7</v>
      </c>
      <c r="B10" s="10" t="s">
        <v>590</v>
      </c>
      <c r="C10" s="11">
        <v>60.1</v>
      </c>
      <c r="D10" s="9" t="s">
        <v>39</v>
      </c>
      <c r="E10" s="9" t="s">
        <v>809</v>
      </c>
      <c r="F10" s="5"/>
    </row>
    <row r="11" spans="1:6" ht="15.75" customHeight="1">
      <c r="A11" s="9">
        <v>9</v>
      </c>
      <c r="B11" s="10" t="s">
        <v>599</v>
      </c>
      <c r="C11" s="11">
        <v>54.44</v>
      </c>
      <c r="D11" s="9" t="s">
        <v>39</v>
      </c>
      <c r="E11" s="9" t="s">
        <v>809</v>
      </c>
      <c r="F11" s="5"/>
    </row>
    <row r="12" spans="1:6" ht="15.75" customHeight="1">
      <c r="A12" s="9">
        <v>10</v>
      </c>
      <c r="B12" s="10" t="s">
        <v>603</v>
      </c>
      <c r="C12" s="11">
        <v>45.38</v>
      </c>
      <c r="D12" s="9" t="s">
        <v>116</v>
      </c>
      <c r="E12" s="9" t="s">
        <v>809</v>
      </c>
      <c r="F12" s="5"/>
    </row>
    <row r="13" spans="1:6" ht="15.75" customHeight="1">
      <c r="A13" s="9">
        <v>13</v>
      </c>
      <c r="B13" s="10" t="s">
        <v>616</v>
      </c>
      <c r="C13" s="11">
        <v>39.11</v>
      </c>
      <c r="D13" s="9" t="s">
        <v>39</v>
      </c>
      <c r="E13" s="9" t="s">
        <v>809</v>
      </c>
      <c r="F13" s="5"/>
    </row>
    <row r="14" spans="1:6" ht="15.75" customHeight="1">
      <c r="A14" s="9">
        <v>14</v>
      </c>
      <c r="B14" s="10" t="s">
        <v>618</v>
      </c>
      <c r="C14" s="11">
        <v>37.64</v>
      </c>
      <c r="D14" s="9" t="s">
        <v>39</v>
      </c>
      <c r="E14" s="9" t="s">
        <v>809</v>
      </c>
      <c r="F14" s="5"/>
    </row>
    <row r="15" spans="1:6" ht="15.75" customHeight="1">
      <c r="A15" s="9">
        <v>18</v>
      </c>
      <c r="B15" s="10" t="s">
        <v>637</v>
      </c>
      <c r="C15" s="11">
        <v>26.26</v>
      </c>
      <c r="D15" s="9" t="s">
        <v>39</v>
      </c>
      <c r="E15" s="9" t="s">
        <v>809</v>
      </c>
      <c r="F15" s="5"/>
    </row>
    <row r="16" spans="1:6" ht="15.75" customHeight="1">
      <c r="A16" s="9">
        <v>19</v>
      </c>
      <c r="B16" s="10" t="s">
        <v>642</v>
      </c>
      <c r="C16" s="11">
        <v>25.16</v>
      </c>
      <c r="D16" s="9" t="s">
        <v>39</v>
      </c>
      <c r="E16" s="9" t="s">
        <v>809</v>
      </c>
      <c r="F16" s="5"/>
    </row>
    <row r="17" spans="1:6" ht="15.75" customHeight="1">
      <c r="A17" s="9">
        <v>21</v>
      </c>
      <c r="B17" s="10" t="s">
        <v>651</v>
      </c>
      <c r="C17" s="11">
        <v>22.54</v>
      </c>
      <c r="D17" s="9" t="s">
        <v>116</v>
      </c>
      <c r="E17" s="9" t="s">
        <v>809</v>
      </c>
      <c r="F17" s="5"/>
    </row>
    <row r="18" spans="1:6" ht="15.75" customHeight="1">
      <c r="A18" s="9">
        <v>25</v>
      </c>
      <c r="B18" s="10" t="s">
        <v>377</v>
      </c>
      <c r="C18" s="11">
        <v>18.77</v>
      </c>
      <c r="D18" s="9" t="s">
        <v>39</v>
      </c>
      <c r="E18" s="9" t="s">
        <v>809</v>
      </c>
      <c r="F18" s="5"/>
    </row>
    <row r="19" spans="1:6" ht="15.75" customHeight="1">
      <c r="A19" s="9">
        <v>26</v>
      </c>
      <c r="B19" s="10" t="s">
        <v>677</v>
      </c>
      <c r="C19" s="11">
        <v>18.5</v>
      </c>
      <c r="D19" s="9" t="s">
        <v>39</v>
      </c>
      <c r="E19" s="9" t="s">
        <v>809</v>
      </c>
      <c r="F19" s="5"/>
    </row>
    <row r="20" spans="1:6" ht="15.75" customHeight="1">
      <c r="A20" s="9">
        <v>27</v>
      </c>
      <c r="B20" s="10" t="s">
        <v>680</v>
      </c>
      <c r="C20" s="11">
        <v>18.350000000000001</v>
      </c>
      <c r="D20" s="9" t="s">
        <v>39</v>
      </c>
      <c r="E20" s="9" t="s">
        <v>809</v>
      </c>
      <c r="F20" s="5"/>
    </row>
    <row r="21" spans="1:6" ht="15.75" customHeight="1">
      <c r="A21" s="9">
        <v>32</v>
      </c>
      <c r="B21" s="10" t="s">
        <v>704</v>
      </c>
      <c r="C21" s="11">
        <v>15.25</v>
      </c>
      <c r="D21" s="9" t="s">
        <v>39</v>
      </c>
      <c r="E21" s="9" t="s">
        <v>809</v>
      </c>
      <c r="F21" s="5"/>
    </row>
    <row r="22" spans="1:6" ht="15.75" customHeight="1">
      <c r="A22" s="9">
        <v>35</v>
      </c>
      <c r="B22" s="10" t="s">
        <v>718</v>
      </c>
      <c r="C22" s="11">
        <v>13.57</v>
      </c>
      <c r="D22" s="9" t="s">
        <v>116</v>
      </c>
      <c r="E22" s="9" t="s">
        <v>809</v>
      </c>
      <c r="F22" s="5"/>
    </row>
    <row r="23" spans="1:6" ht="15.75" customHeight="1">
      <c r="A23" s="9">
        <v>37</v>
      </c>
      <c r="B23" s="10" t="s">
        <v>728</v>
      </c>
      <c r="C23" s="11">
        <v>12.67</v>
      </c>
      <c r="D23" s="9" t="s">
        <v>39</v>
      </c>
      <c r="E23" s="9" t="s">
        <v>809</v>
      </c>
      <c r="F23" s="5"/>
    </row>
    <row r="24" spans="1:6" ht="15.75" customHeight="1">
      <c r="A24" s="9">
        <v>38</v>
      </c>
      <c r="B24" s="10" t="s">
        <v>733</v>
      </c>
      <c r="C24" s="11">
        <v>12.63</v>
      </c>
      <c r="D24" s="9" t="s">
        <v>39</v>
      </c>
      <c r="E24" s="9" t="s">
        <v>809</v>
      </c>
      <c r="F24" s="5"/>
    </row>
    <row r="25" spans="1:6" ht="15.75" customHeight="1">
      <c r="A25" s="9">
        <v>39</v>
      </c>
      <c r="B25" s="10" t="s">
        <v>738</v>
      </c>
      <c r="C25" s="11">
        <v>12.57</v>
      </c>
      <c r="D25" s="9" t="s">
        <v>39</v>
      </c>
      <c r="E25" s="9" t="s">
        <v>809</v>
      </c>
      <c r="F25" s="5"/>
    </row>
    <row r="26" spans="1:6" ht="15.75" customHeight="1">
      <c r="A26" s="9">
        <v>43</v>
      </c>
      <c r="B26" s="10" t="s">
        <v>755</v>
      </c>
      <c r="C26" s="11">
        <v>12.1</v>
      </c>
      <c r="D26" s="9" t="s">
        <v>39</v>
      </c>
      <c r="E26" s="9" t="s">
        <v>809</v>
      </c>
      <c r="F26" s="5"/>
    </row>
    <row r="27" spans="1:6" ht="15.75" customHeight="1">
      <c r="A27" s="9">
        <v>44</v>
      </c>
      <c r="B27" s="10" t="s">
        <v>760</v>
      </c>
      <c r="C27" s="11">
        <v>11.78</v>
      </c>
      <c r="D27" s="9" t="s">
        <v>39</v>
      </c>
      <c r="E27" s="9" t="s">
        <v>809</v>
      </c>
      <c r="F27" s="5"/>
    </row>
    <row r="28" spans="1:6" ht="15.75" customHeight="1">
      <c r="A28" s="9">
        <v>46</v>
      </c>
      <c r="B28" s="10" t="s">
        <v>769</v>
      </c>
      <c r="C28" s="11">
        <v>11.48</v>
      </c>
      <c r="D28" s="9" t="s">
        <v>39</v>
      </c>
      <c r="E28" s="9" t="s">
        <v>809</v>
      </c>
      <c r="F28" s="5"/>
    </row>
    <row r="29" spans="1:6" ht="15.75" customHeight="1">
      <c r="A29" s="9">
        <v>47</v>
      </c>
      <c r="B29" s="10" t="s">
        <v>774</v>
      </c>
      <c r="C29" s="11">
        <v>11.23</v>
      </c>
      <c r="D29" s="9" t="s">
        <v>39</v>
      </c>
      <c r="E29" s="9" t="s">
        <v>809</v>
      </c>
      <c r="F29" s="5"/>
    </row>
    <row r="30" spans="1:6" ht="15.75" customHeight="1">
      <c r="A30" s="9">
        <v>48</v>
      </c>
      <c r="B30" s="10" t="s">
        <v>779</v>
      </c>
      <c r="C30" s="11">
        <v>10.15</v>
      </c>
      <c r="D30" s="9" t="s">
        <v>39</v>
      </c>
      <c r="E30" s="9" t="s">
        <v>809</v>
      </c>
      <c r="F30" s="5"/>
    </row>
    <row r="32" spans="1:6" ht="21.75" customHeight="1">
      <c r="A32" s="160" t="s">
        <v>885</v>
      </c>
      <c r="B32" s="166"/>
      <c r="C32" s="166"/>
      <c r="D32" s="166"/>
      <c r="E32" s="166"/>
      <c r="F32" s="166"/>
    </row>
    <row r="33" spans="1:6" ht="15.75" customHeight="1">
      <c r="A33" s="9">
        <v>3</v>
      </c>
      <c r="B33" s="10" t="s">
        <v>572</v>
      </c>
      <c r="C33" s="11">
        <v>86.06</v>
      </c>
      <c r="D33" s="9" t="s">
        <v>226</v>
      </c>
      <c r="E33" s="9" t="s">
        <v>885</v>
      </c>
      <c r="F33" s="5"/>
    </row>
    <row r="34" spans="1:6" ht="15.75" customHeight="1">
      <c r="A34" s="9">
        <v>15</v>
      </c>
      <c r="B34" s="10" t="s">
        <v>623</v>
      </c>
      <c r="C34" s="11">
        <v>28.71</v>
      </c>
      <c r="D34" s="9" t="s">
        <v>226</v>
      </c>
      <c r="E34" s="9" t="s">
        <v>885</v>
      </c>
      <c r="F34" s="5"/>
    </row>
    <row r="35" spans="1:6" ht="15.75" customHeight="1">
      <c r="A35" s="9">
        <v>23</v>
      </c>
      <c r="B35" s="10" t="s">
        <v>661</v>
      </c>
      <c r="C35" s="11">
        <v>21.54</v>
      </c>
      <c r="D35" s="9" t="s">
        <v>662</v>
      </c>
      <c r="E35" s="9" t="s">
        <v>885</v>
      </c>
      <c r="F35" s="5"/>
    </row>
    <row r="37" spans="1:6" ht="21.75" customHeight="1">
      <c r="A37" s="160" t="s">
        <v>796</v>
      </c>
      <c r="B37" s="166"/>
      <c r="C37" s="166"/>
      <c r="D37" s="166"/>
      <c r="E37" s="166"/>
      <c r="F37" s="166"/>
    </row>
    <row r="38" spans="1:6" ht="15.75" customHeight="1">
      <c r="A38" s="9">
        <v>1</v>
      </c>
      <c r="B38" s="10" t="s">
        <v>562</v>
      </c>
      <c r="C38" s="11">
        <v>103.02</v>
      </c>
      <c r="D38" s="9" t="s">
        <v>72</v>
      </c>
      <c r="E38" s="9" t="s">
        <v>796</v>
      </c>
      <c r="F38" s="5"/>
    </row>
    <row r="39" spans="1:6" ht="15.75" customHeight="1">
      <c r="A39" s="9">
        <v>2</v>
      </c>
      <c r="B39" s="10" t="s">
        <v>567</v>
      </c>
      <c r="C39" s="11">
        <v>101.54</v>
      </c>
      <c r="D39" s="9" t="s">
        <v>65</v>
      </c>
      <c r="E39" s="9" t="s">
        <v>796</v>
      </c>
      <c r="F39" s="5"/>
    </row>
    <row r="40" spans="1:6" ht="15.75" customHeight="1">
      <c r="A40" s="9">
        <v>8</v>
      </c>
      <c r="B40" s="10" t="s">
        <v>594</v>
      </c>
      <c r="C40" s="11">
        <v>58.59</v>
      </c>
      <c r="D40" s="9" t="s">
        <v>60</v>
      </c>
      <c r="E40" s="9" t="s">
        <v>796</v>
      </c>
      <c r="F40" s="5"/>
    </row>
    <row r="41" spans="1:6" ht="15.75" customHeight="1">
      <c r="A41" s="9">
        <v>12</v>
      </c>
      <c r="B41" s="10" t="s">
        <v>612</v>
      </c>
      <c r="C41" s="11">
        <v>42</v>
      </c>
      <c r="D41" s="9" t="s">
        <v>60</v>
      </c>
      <c r="E41" s="9" t="s">
        <v>796</v>
      </c>
      <c r="F41" s="5"/>
    </row>
    <row r="42" spans="1:6" ht="15.75" customHeight="1">
      <c r="A42" s="9">
        <v>17</v>
      </c>
      <c r="B42" s="10" t="s">
        <v>76</v>
      </c>
      <c r="C42" s="11">
        <v>26.35</v>
      </c>
      <c r="D42" s="9" t="s">
        <v>60</v>
      </c>
      <c r="E42" s="9" t="s">
        <v>796</v>
      </c>
      <c r="F42" s="5"/>
    </row>
    <row r="43" spans="1:6" ht="15.75" customHeight="1">
      <c r="A43" s="9">
        <v>29</v>
      </c>
      <c r="B43" s="10" t="s">
        <v>691</v>
      </c>
      <c r="C43" s="11">
        <v>17.059999999999999</v>
      </c>
      <c r="D43" s="9" t="s">
        <v>248</v>
      </c>
      <c r="E43" s="9" t="s">
        <v>796</v>
      </c>
      <c r="F43" s="5"/>
    </row>
    <row r="44" spans="1:6" ht="15.75" customHeight="1">
      <c r="A44" s="9">
        <v>31</v>
      </c>
      <c r="B44" s="10" t="s">
        <v>699</v>
      </c>
      <c r="C44" s="11">
        <v>16.43</v>
      </c>
      <c r="D44" s="9" t="s">
        <v>248</v>
      </c>
      <c r="E44" s="9" t="s">
        <v>796</v>
      </c>
      <c r="F44" s="5"/>
    </row>
    <row r="45" spans="1:6" ht="15.75" customHeight="1">
      <c r="A45" s="9">
        <v>36</v>
      </c>
      <c r="B45" s="10" t="s">
        <v>723</v>
      </c>
      <c r="C45" s="11">
        <v>13.31</v>
      </c>
      <c r="D45" s="9" t="s">
        <v>65</v>
      </c>
      <c r="E45" s="9" t="s">
        <v>796</v>
      </c>
      <c r="F45" s="5"/>
    </row>
    <row r="46" spans="1:6" ht="15.75" customHeight="1">
      <c r="A46" s="9">
        <v>41</v>
      </c>
      <c r="B46" s="10" t="s">
        <v>370</v>
      </c>
      <c r="C46" s="11">
        <v>12.21</v>
      </c>
      <c r="D46" s="9" t="s">
        <v>65</v>
      </c>
      <c r="E46" s="9" t="s">
        <v>796</v>
      </c>
      <c r="F46" s="5"/>
    </row>
    <row r="47" spans="1:6" ht="15.75" customHeight="1">
      <c r="A47" s="9">
        <v>49</v>
      </c>
      <c r="B47" s="10" t="s">
        <v>782</v>
      </c>
      <c r="C47" s="11">
        <v>10.07</v>
      </c>
      <c r="D47" s="9" t="s">
        <v>783</v>
      </c>
      <c r="E47" s="9" t="s">
        <v>796</v>
      </c>
      <c r="F47" s="5"/>
    </row>
    <row r="49" spans="1:6" ht="21.75" customHeight="1">
      <c r="A49" s="160" t="s">
        <v>1132</v>
      </c>
      <c r="B49" s="166"/>
      <c r="C49" s="166"/>
      <c r="D49" s="166"/>
      <c r="E49" s="166"/>
      <c r="F49" s="166"/>
    </row>
    <row r="50" spans="1:6" ht="15.75" customHeight="1">
      <c r="A50" s="9">
        <v>40</v>
      </c>
      <c r="B50" s="10" t="s">
        <v>743</v>
      </c>
      <c r="C50" s="11">
        <v>12.52</v>
      </c>
      <c r="D50" s="9" t="s">
        <v>231</v>
      </c>
      <c r="E50" s="9" t="s">
        <v>1132</v>
      </c>
      <c r="F50" s="5"/>
    </row>
    <row r="52" spans="1:6" ht="21.75" customHeight="1">
      <c r="A52" s="160" t="s">
        <v>814</v>
      </c>
      <c r="B52" s="166"/>
      <c r="C52" s="166"/>
      <c r="D52" s="166"/>
      <c r="E52" s="166"/>
      <c r="F52" s="166"/>
    </row>
    <row r="53" spans="1:6" ht="15.75" customHeight="1">
      <c r="A53" s="9">
        <v>11</v>
      </c>
      <c r="B53" s="10" t="s">
        <v>608</v>
      </c>
      <c r="C53" s="11">
        <v>42.64</v>
      </c>
      <c r="D53" s="9" t="s">
        <v>255</v>
      </c>
      <c r="E53" s="9" t="s">
        <v>814</v>
      </c>
      <c r="F53" s="5"/>
    </row>
    <row r="54" spans="1:6" ht="15.75" customHeight="1">
      <c r="A54" s="9">
        <v>16</v>
      </c>
      <c r="B54" s="10" t="s">
        <v>628</v>
      </c>
      <c r="C54" s="11">
        <v>27.85</v>
      </c>
      <c r="D54" s="9" t="s">
        <v>629</v>
      </c>
      <c r="E54" s="9" t="s">
        <v>814</v>
      </c>
      <c r="F54" s="5"/>
    </row>
    <row r="55" spans="1:6" ht="15.75" customHeight="1">
      <c r="A55" s="9">
        <v>20</v>
      </c>
      <c r="B55" s="10" t="s">
        <v>647</v>
      </c>
      <c r="C55" s="11">
        <v>24.27</v>
      </c>
      <c r="D55" s="9" t="s">
        <v>255</v>
      </c>
      <c r="E55" s="9" t="s">
        <v>814</v>
      </c>
      <c r="F55" s="5"/>
    </row>
    <row r="56" spans="1:6" ht="15.75" customHeight="1">
      <c r="A56" s="9">
        <v>22</v>
      </c>
      <c r="B56" s="10" t="s">
        <v>655</v>
      </c>
      <c r="C56" s="11">
        <v>21.93</v>
      </c>
      <c r="D56" s="9" t="s">
        <v>656</v>
      </c>
      <c r="E56" s="9" t="s">
        <v>814</v>
      </c>
      <c r="F56" s="5"/>
    </row>
    <row r="57" spans="1:6" ht="15.75" customHeight="1">
      <c r="A57" s="9">
        <v>24</v>
      </c>
      <c r="B57" s="10" t="s">
        <v>667</v>
      </c>
      <c r="C57" s="11">
        <v>21.38</v>
      </c>
      <c r="D57" s="9" t="s">
        <v>668</v>
      </c>
      <c r="E57" s="9" t="s">
        <v>814</v>
      </c>
      <c r="F57" s="5"/>
    </row>
    <row r="58" spans="1:6" ht="15.75" customHeight="1">
      <c r="A58" s="9">
        <v>28</v>
      </c>
      <c r="B58" s="10" t="s">
        <v>685</v>
      </c>
      <c r="C58" s="11">
        <v>17.41</v>
      </c>
      <c r="D58" s="9" t="s">
        <v>686</v>
      </c>
      <c r="E58" s="9" t="s">
        <v>814</v>
      </c>
      <c r="F58" s="5"/>
    </row>
    <row r="59" spans="1:6" ht="15.75" customHeight="1">
      <c r="A59" s="9">
        <v>30</v>
      </c>
      <c r="B59" s="10" t="s">
        <v>694</v>
      </c>
      <c r="C59" s="11">
        <v>16.88</v>
      </c>
      <c r="D59" s="9" t="s">
        <v>656</v>
      </c>
      <c r="E59" s="9" t="s">
        <v>814</v>
      </c>
      <c r="F59" s="5"/>
    </row>
    <row r="60" spans="1:6" ht="15.75" customHeight="1">
      <c r="A60" s="9">
        <v>33</v>
      </c>
      <c r="B60" s="10" t="s">
        <v>707</v>
      </c>
      <c r="C60" s="11">
        <v>15.03</v>
      </c>
      <c r="D60" s="9" t="s">
        <v>708</v>
      </c>
      <c r="E60" s="9" t="s">
        <v>814</v>
      </c>
      <c r="F60" s="5"/>
    </row>
    <row r="61" spans="1:6" ht="15.75" customHeight="1">
      <c r="A61" s="9">
        <v>42</v>
      </c>
      <c r="B61" s="10" t="s">
        <v>750</v>
      </c>
      <c r="C61" s="11">
        <v>12.15</v>
      </c>
      <c r="D61" s="9" t="s">
        <v>656</v>
      </c>
      <c r="E61" s="9" t="s">
        <v>814</v>
      </c>
      <c r="F61" s="5"/>
    </row>
    <row r="62" spans="1:6" ht="15.75" customHeight="1">
      <c r="A62" s="9">
        <v>45</v>
      </c>
      <c r="B62" s="10" t="s">
        <v>765</v>
      </c>
      <c r="C62" s="11">
        <v>11.56</v>
      </c>
      <c r="D62" s="9" t="s">
        <v>656</v>
      </c>
      <c r="E62" s="9" t="s">
        <v>814</v>
      </c>
      <c r="F62" s="5"/>
    </row>
    <row r="63" spans="1:6" ht="15.75" customHeight="1">
      <c r="A63" s="9">
        <v>50</v>
      </c>
      <c r="B63" s="10" t="s">
        <v>788</v>
      </c>
      <c r="C63" s="11">
        <v>9.82</v>
      </c>
      <c r="D63" s="9" t="s">
        <v>708</v>
      </c>
      <c r="E63" s="9" t="s">
        <v>814</v>
      </c>
      <c r="F63" s="5"/>
    </row>
    <row r="65" spans="1:6" ht="21.75" customHeight="1">
      <c r="A65" s="160" t="s">
        <v>985</v>
      </c>
      <c r="B65" s="166"/>
      <c r="C65" s="166"/>
      <c r="D65" s="166"/>
      <c r="E65" s="166"/>
      <c r="F65" s="166"/>
    </row>
    <row r="66" spans="1:6" ht="15.75" customHeight="1">
      <c r="A66" s="9">
        <v>34</v>
      </c>
      <c r="B66" s="10" t="s">
        <v>713</v>
      </c>
      <c r="C66" s="11">
        <v>13.58</v>
      </c>
      <c r="D66" s="9" t="s">
        <v>90</v>
      </c>
      <c r="E66" s="9" t="s">
        <v>985</v>
      </c>
      <c r="F66" s="5"/>
    </row>
  </sheetData>
  <mergeCells count="9">
    <mergeCell ref="A65:F65"/>
    <mergeCell ref="A2:F2"/>
    <mergeCell ref="A49:F49"/>
    <mergeCell ref="A52:F52"/>
    <mergeCell ref="A1:F1"/>
    <mergeCell ref="A37:F37"/>
    <mergeCell ref="B3:F3"/>
    <mergeCell ref="A32:F32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showGridLines="0" zoomScale="115" zoomScaleNormal="115" workbookViewId="0">
      <pane ySplit="4" topLeftCell="A5" activePane="bottomLeft" state="frozen"/>
      <selection pane="bottomLeft" activeCell="B8" sqref="B8"/>
    </sheetView>
  </sheetViews>
  <sheetFormatPr defaultColWidth="8.85546875" defaultRowHeight="15"/>
  <cols>
    <col min="1" max="1" width="28" customWidth="1"/>
    <col min="2" max="4" width="14" customWidth="1"/>
  </cols>
  <sheetData>
    <row r="1" spans="1:4" ht="24" customHeight="1">
      <c r="A1" s="171" t="s">
        <v>1229</v>
      </c>
      <c r="B1" s="166"/>
      <c r="C1" s="166"/>
      <c r="D1" s="166"/>
    </row>
    <row r="3" spans="1:4" ht="21.75" customHeight="1">
      <c r="A3" s="154" t="s">
        <v>1230</v>
      </c>
      <c r="B3" s="166"/>
      <c r="C3" s="166"/>
      <c r="D3" s="166"/>
    </row>
    <row r="4" spans="1:4" ht="15.75" customHeight="1">
      <c r="A4" s="12" t="s">
        <v>1165</v>
      </c>
      <c r="B4" s="12" t="s">
        <v>1231</v>
      </c>
    </row>
    <row r="5" spans="1:4" ht="15.75" customHeight="1">
      <c r="A5" s="5" t="s">
        <v>1232</v>
      </c>
      <c r="B5" s="13">
        <v>0.35</v>
      </c>
    </row>
    <row r="6" spans="1:4" ht="15.75" customHeight="1">
      <c r="A6" s="5" t="s">
        <v>1233</v>
      </c>
      <c r="B6" s="13">
        <v>0.2</v>
      </c>
    </row>
    <row r="7" spans="1:4" ht="15.75" customHeight="1">
      <c r="A7" s="5" t="s">
        <v>1234</v>
      </c>
      <c r="B7" s="13">
        <v>0.1</v>
      </c>
    </row>
    <row r="8" spans="1:4" ht="15.75" customHeight="1">
      <c r="A8" s="5" t="s">
        <v>1201</v>
      </c>
      <c r="B8" s="13">
        <v>0.3</v>
      </c>
    </row>
    <row r="9" spans="1:4" ht="15.75" customHeight="1">
      <c r="A9" s="5" t="s">
        <v>1206</v>
      </c>
      <c r="B9" s="13">
        <v>0.05</v>
      </c>
    </row>
    <row r="10" spans="1:4" ht="15.75" customHeight="1">
      <c r="A10" s="5" t="s">
        <v>1235</v>
      </c>
      <c r="B10" s="13">
        <v>-0.1</v>
      </c>
    </row>
    <row r="11" spans="1:4" ht="15.75" customHeight="1">
      <c r="A11" s="14" t="s">
        <v>1236</v>
      </c>
      <c r="B11" s="15">
        <f>SUM(B5:B9)</f>
        <v>1</v>
      </c>
    </row>
    <row r="13" spans="1:4">
      <c r="A13" s="172" t="s">
        <v>1237</v>
      </c>
      <c r="B13" s="166"/>
      <c r="C13" s="166"/>
      <c r="D13" s="166"/>
    </row>
    <row r="14" spans="1:4" ht="15.75" customHeight="1">
      <c r="A14" s="5" t="s">
        <v>1238</v>
      </c>
      <c r="B14" s="16">
        <v>4</v>
      </c>
    </row>
    <row r="15" spans="1:4" ht="15.75" customHeight="1">
      <c r="A15" s="5" t="s">
        <v>1239</v>
      </c>
      <c r="B15" s="16">
        <v>3.2</v>
      </c>
    </row>
    <row r="16" spans="1:4" ht="15.75" customHeight="1">
      <c r="A16" s="5" t="s">
        <v>1240</v>
      </c>
      <c r="B16" s="16">
        <v>2.5</v>
      </c>
    </row>
  </sheetData>
  <mergeCells count="3">
    <mergeCell ref="A1:D1"/>
    <mergeCell ref="A3:D3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showGridLines="0" zoomScale="120" zoomScaleNormal="120" workbookViewId="0">
      <pane ySplit="1" topLeftCell="A2" activePane="bottomLeft" state="frozen"/>
      <selection pane="bottomLeft" activeCell="A2" sqref="A2"/>
    </sheetView>
  </sheetViews>
  <sheetFormatPr defaultColWidth="8.85546875" defaultRowHeight="15"/>
  <cols>
    <col min="1" max="4" width="16" customWidth="1"/>
  </cols>
  <sheetData>
    <row r="1" spans="1:2" ht="15.75" customHeight="1">
      <c r="A1" s="4" t="s">
        <v>1241</v>
      </c>
      <c r="B1" s="4" t="s">
        <v>282</v>
      </c>
    </row>
    <row r="2" spans="1:2" ht="15.75" customHeight="1">
      <c r="A2" s="5" t="s">
        <v>226</v>
      </c>
      <c r="B2" s="9" t="s">
        <v>885</v>
      </c>
    </row>
    <row r="3" spans="1:2" ht="15.75" customHeight="1">
      <c r="A3" s="5" t="s">
        <v>116</v>
      </c>
      <c r="B3" s="9" t="s">
        <v>809</v>
      </c>
    </row>
    <row r="4" spans="1:2" ht="15.75" customHeight="1">
      <c r="A4" s="5" t="s">
        <v>656</v>
      </c>
      <c r="B4" s="9" t="s">
        <v>814</v>
      </c>
    </row>
    <row r="5" spans="1:2" ht="15.75" customHeight="1">
      <c r="A5" s="5" t="s">
        <v>248</v>
      </c>
      <c r="B5" s="9" t="s">
        <v>796</v>
      </c>
    </row>
    <row r="6" spans="1:2" ht="15.75" customHeight="1">
      <c r="A6" s="5" t="s">
        <v>783</v>
      </c>
      <c r="B6" s="9" t="s">
        <v>796</v>
      </c>
    </row>
    <row r="7" spans="1:2" ht="15.75" customHeight="1">
      <c r="A7" s="5" t="s">
        <v>629</v>
      </c>
      <c r="B7" s="9" t="s">
        <v>814</v>
      </c>
    </row>
    <row r="8" spans="1:2" ht="15.75" customHeight="1">
      <c r="A8" s="5" t="s">
        <v>708</v>
      </c>
      <c r="B8" s="9" t="s">
        <v>814</v>
      </c>
    </row>
    <row r="9" spans="1:2" ht="15.75" customHeight="1">
      <c r="A9" s="5" t="s">
        <v>662</v>
      </c>
      <c r="B9" s="9" t="s">
        <v>885</v>
      </c>
    </row>
    <row r="10" spans="1:2" ht="15.75" customHeight="1">
      <c r="A10" s="5" t="s">
        <v>72</v>
      </c>
      <c r="B10" s="9" t="s">
        <v>796</v>
      </c>
    </row>
    <row r="11" spans="1:2" ht="15.75" customHeight="1">
      <c r="A11" s="5" t="s">
        <v>90</v>
      </c>
      <c r="B11" s="9" t="s">
        <v>985</v>
      </c>
    </row>
    <row r="12" spans="1:2" ht="15.75" customHeight="1">
      <c r="A12" s="5" t="s">
        <v>255</v>
      </c>
      <c r="B12" s="9" t="s">
        <v>814</v>
      </c>
    </row>
    <row r="13" spans="1:2" ht="15.75" customHeight="1">
      <c r="A13" s="5" t="s">
        <v>231</v>
      </c>
      <c r="B13" s="9" t="s">
        <v>1132</v>
      </c>
    </row>
    <row r="14" spans="1:2" ht="15.75" customHeight="1">
      <c r="A14" s="5" t="s">
        <v>65</v>
      </c>
      <c r="B14" s="9" t="s">
        <v>796</v>
      </c>
    </row>
    <row r="15" spans="1:2" ht="15.75" customHeight="1">
      <c r="A15" s="5" t="s">
        <v>668</v>
      </c>
      <c r="B15" s="9" t="s">
        <v>814</v>
      </c>
    </row>
    <row r="16" spans="1:2" ht="15.75" customHeight="1">
      <c r="A16" s="5" t="s">
        <v>686</v>
      </c>
      <c r="B16" s="9" t="s">
        <v>814</v>
      </c>
    </row>
    <row r="17" spans="1:2" ht="15.75" customHeight="1">
      <c r="A17" s="5" t="s">
        <v>60</v>
      </c>
      <c r="B17" s="9" t="s">
        <v>796</v>
      </c>
    </row>
    <row r="18" spans="1:2" ht="15.75" customHeight="1">
      <c r="A18" s="5" t="s">
        <v>39</v>
      </c>
      <c r="B18" s="9" t="s">
        <v>809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/>
  </sheetViews>
  <sheetFormatPr defaultColWidth="8.85546875" defaultRowHeight="15"/>
  <cols>
    <col min="1" max="1" width="28" customWidth="1"/>
    <col min="2" max="3" width="14" customWidth="1"/>
    <col min="4" max="4" width="25" customWidth="1"/>
    <col min="5" max="5" width="30" customWidth="1"/>
    <col min="6" max="6" width="10" customWidth="1"/>
    <col min="7" max="7" width="12" customWidth="1"/>
    <col min="8" max="8" width="60" customWidth="1"/>
  </cols>
  <sheetData>
    <row r="1" spans="1:8">
      <c r="A1" s="88" t="s">
        <v>2</v>
      </c>
      <c r="B1" s="88" t="s">
        <v>1242</v>
      </c>
      <c r="C1" s="88" t="s">
        <v>282</v>
      </c>
      <c r="D1" s="88" t="s">
        <v>1243</v>
      </c>
      <c r="E1" s="88" t="s">
        <v>283</v>
      </c>
      <c r="F1" s="88" t="s">
        <v>1166</v>
      </c>
      <c r="G1" s="88" t="s">
        <v>7</v>
      </c>
      <c r="H1" s="88" t="s">
        <v>1244</v>
      </c>
    </row>
    <row r="2" spans="1:8">
      <c r="A2" s="89" t="s">
        <v>755</v>
      </c>
      <c r="B2" s="89" t="s">
        <v>39</v>
      </c>
      <c r="C2" s="89" t="str">
        <f>IFERROR(VLOOKUP(B48,Lists!$A$2:$B$200,2,FALSE()),"North America")</f>
        <v>North America</v>
      </c>
      <c r="D2" s="89" t="s">
        <v>756</v>
      </c>
      <c r="E2" s="89" t="s">
        <v>758</v>
      </c>
      <c r="F2" s="89">
        <f>IFERROR((G48*Assumptions!$B$5 + H48*Assumptions!$B$6 + I48*Assumptions!$B$7 + J48*Assumptions!$B$8 + K48*Assumptions!$B$9 + L48*Assumptions!$B$10),"" )</f>
        <v>0</v>
      </c>
      <c r="G2" s="89" t="str">
        <f>IF(M48="","",IF(M48&gt;=Assumptions!$B$14,"Tier 1",IF(M48&gt;=Assumptions!$B$15,"Tier 2",IF(M48&gt;=Assumptions!$B$16,"Tier 3","Tier 4"))))</f>
        <v/>
      </c>
      <c r="H2" s="89" t="s">
        <v>1245</v>
      </c>
    </row>
    <row r="3" spans="1:8">
      <c r="A3" s="89" t="s">
        <v>782</v>
      </c>
      <c r="B3" s="89" t="s">
        <v>783</v>
      </c>
      <c r="C3" s="89" t="str">
        <f>IFERROR(VLOOKUP(B54,Lists!$A$2:$B$200,2,FALSE()),"Europe")</f>
        <v>Europe</v>
      </c>
      <c r="D3" s="89" t="s">
        <v>784</v>
      </c>
      <c r="E3" s="89" t="s">
        <v>786</v>
      </c>
      <c r="F3" s="89">
        <f>IFERROR((G54*Assumptions!$B$5 + H54*Assumptions!$B$6 + I54*Assumptions!$B$7 + J54*Assumptions!$B$8 + K54*Assumptions!$B$9 + L54*Assumptions!$B$10),"" )</f>
        <v>0</v>
      </c>
      <c r="G3" s="89" t="str">
        <f>IF(M54="","",IF(M54&gt;=Assumptions!$B$14,"Tier 1",IF(M54&gt;=Assumptions!$B$15,"Tier 2",IF(M54&gt;=Assumptions!$B$16,"Tier 3","Tier 4"))))</f>
        <v/>
      </c>
      <c r="H3" s="89" t="s">
        <v>1246</v>
      </c>
    </row>
    <row r="4" spans="1:8">
      <c r="A4" s="89" t="s">
        <v>788</v>
      </c>
      <c r="B4" s="89" t="s">
        <v>708</v>
      </c>
      <c r="C4" s="89" t="str">
        <f>IFERROR(VLOOKUP(B55,Lists!$A$2:$B$200,2,FALSE()),"Asia")</f>
        <v>Asia</v>
      </c>
      <c r="D4" s="89" t="s">
        <v>789</v>
      </c>
      <c r="E4" s="89" t="s">
        <v>791</v>
      </c>
      <c r="F4" s="89">
        <f>IFERROR((G55*Assumptions!$B$5 + H55*Assumptions!$B$6 + I55*Assumptions!$B$7 + J55*Assumptions!$B$8 + K55*Assumptions!$B$9 + L55*Assumptions!$B$10),"" )</f>
        <v>0</v>
      </c>
      <c r="G4" s="89" t="str">
        <f>IF(M55="","",IF(M55&gt;=Assumptions!$B$14,"Tier 1",IF(M55&gt;=Assumptions!$B$15,"Tier 2",IF(M55&gt;=Assumptions!$B$16,"Tier 3","Tier 4"))))</f>
        <v/>
      </c>
      <c r="H4" s="89" t="s">
        <v>1247</v>
      </c>
    </row>
    <row r="5" spans="1:8">
      <c r="A5" s="89" t="s">
        <v>808</v>
      </c>
      <c r="B5" s="89" t="s">
        <v>39</v>
      </c>
      <c r="C5" s="89" t="s">
        <v>809</v>
      </c>
      <c r="D5" s="89" t="s">
        <v>681</v>
      </c>
      <c r="E5" s="89" t="s">
        <v>683</v>
      </c>
      <c r="F5" s="89">
        <v>3.3</v>
      </c>
      <c r="G5" s="89" t="s">
        <v>811</v>
      </c>
      <c r="H5" s="89" t="s">
        <v>1248</v>
      </c>
    </row>
    <row r="6" spans="1:8">
      <c r="A6" s="89" t="s">
        <v>875</v>
      </c>
      <c r="B6" s="89" t="s">
        <v>39</v>
      </c>
      <c r="C6" s="89" t="s">
        <v>809</v>
      </c>
      <c r="D6" s="89" t="s">
        <v>876</v>
      </c>
      <c r="E6" s="89" t="s">
        <v>878</v>
      </c>
      <c r="F6" s="89">
        <v>3.4</v>
      </c>
      <c r="G6" s="89" t="s">
        <v>811</v>
      </c>
      <c r="H6" s="89" t="s">
        <v>1249</v>
      </c>
    </row>
    <row r="7" spans="1:8">
      <c r="A7" s="89" t="s">
        <v>880</v>
      </c>
      <c r="B7" s="89" t="s">
        <v>116</v>
      </c>
      <c r="C7" s="89" t="s">
        <v>809</v>
      </c>
      <c r="D7" s="89" t="s">
        <v>876</v>
      </c>
      <c r="E7" s="89" t="s">
        <v>882</v>
      </c>
      <c r="F7" s="89">
        <v>3.55</v>
      </c>
      <c r="G7" s="89" t="s">
        <v>811</v>
      </c>
      <c r="H7" s="89" t="s">
        <v>1250</v>
      </c>
    </row>
    <row r="8" spans="1:8">
      <c r="A8" s="89" t="s">
        <v>884</v>
      </c>
      <c r="B8" s="89" t="s">
        <v>662</v>
      </c>
      <c r="C8" s="89" t="s">
        <v>885</v>
      </c>
      <c r="D8" s="89" t="s">
        <v>886</v>
      </c>
      <c r="E8" s="89" t="s">
        <v>888</v>
      </c>
      <c r="F8" s="89">
        <v>2.9</v>
      </c>
      <c r="G8" s="89" t="s">
        <v>799</v>
      </c>
      <c r="H8" s="89" t="s">
        <v>1251</v>
      </c>
    </row>
    <row r="9" spans="1:8">
      <c r="A9" s="89" t="s">
        <v>915</v>
      </c>
      <c r="B9" s="89" t="s">
        <v>916</v>
      </c>
      <c r="C9" s="89" t="s">
        <v>802</v>
      </c>
      <c r="D9" s="89" t="s">
        <v>917</v>
      </c>
      <c r="E9" s="89" t="s">
        <v>898</v>
      </c>
      <c r="F9" s="89">
        <v>3.1</v>
      </c>
      <c r="G9" s="89" t="s">
        <v>799</v>
      </c>
      <c r="H9" s="89" t="s">
        <v>1252</v>
      </c>
    </row>
    <row r="10" spans="1:8">
      <c r="A10" s="89" t="s">
        <v>920</v>
      </c>
      <c r="B10" s="89" t="s">
        <v>921</v>
      </c>
      <c r="C10" s="89" t="s">
        <v>802</v>
      </c>
      <c r="D10" s="89" t="s">
        <v>669</v>
      </c>
      <c r="E10" s="89" t="s">
        <v>923</v>
      </c>
      <c r="F10" s="89">
        <v>3.15</v>
      </c>
      <c r="G10" s="89" t="s">
        <v>799</v>
      </c>
      <c r="H10" s="89" t="s">
        <v>1253</v>
      </c>
    </row>
    <row r="11" spans="1:8">
      <c r="A11" s="89" t="s">
        <v>380</v>
      </c>
      <c r="B11" s="89" t="s">
        <v>248</v>
      </c>
      <c r="C11" s="89" t="s">
        <v>796</v>
      </c>
      <c r="D11" s="89" t="s">
        <v>1011</v>
      </c>
      <c r="E11" s="89" t="s">
        <v>1013</v>
      </c>
      <c r="F11" s="89">
        <v>3.9</v>
      </c>
      <c r="G11" s="89" t="s">
        <v>811</v>
      </c>
      <c r="H11" s="89" t="s">
        <v>1254</v>
      </c>
    </row>
    <row r="13" spans="1:8">
      <c r="A13" s="90" t="s">
        <v>1255</v>
      </c>
      <c r="B13" s="173" t="s">
        <v>1256</v>
      </c>
      <c r="C13" s="166"/>
      <c r="D13" s="166"/>
      <c r="E13" s="166"/>
      <c r="F13" s="166"/>
      <c r="G13" s="166"/>
      <c r="H13" s="166"/>
    </row>
  </sheetData>
  <mergeCells count="1">
    <mergeCell ref="B13:H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"/>
  <sheetViews>
    <sheetView workbookViewId="0"/>
  </sheetViews>
  <sheetFormatPr defaultColWidth="8.85546875" defaultRowHeight="15"/>
  <cols>
    <col min="1" max="1" width="22" customWidth="1"/>
    <col min="2" max="3" width="14" customWidth="1"/>
    <col min="4" max="4" width="25" customWidth="1"/>
    <col min="5" max="5" width="30" customWidth="1"/>
    <col min="6" max="6" width="10" customWidth="1"/>
    <col min="7" max="7" width="12" customWidth="1"/>
    <col min="8" max="9" width="55" customWidth="1"/>
  </cols>
  <sheetData>
    <row r="1" spans="1:9">
      <c r="A1" s="91" t="s">
        <v>2</v>
      </c>
      <c r="B1" s="91" t="s">
        <v>1242</v>
      </c>
      <c r="C1" s="91" t="s">
        <v>282</v>
      </c>
      <c r="D1" s="91" t="s">
        <v>1243</v>
      </c>
      <c r="E1" s="91" t="s">
        <v>283</v>
      </c>
      <c r="F1" s="91" t="s">
        <v>1166</v>
      </c>
      <c r="G1" s="91" t="s">
        <v>7</v>
      </c>
      <c r="H1" s="91" t="s">
        <v>1257</v>
      </c>
      <c r="I1" s="91" t="s">
        <v>1258</v>
      </c>
    </row>
    <row r="2" spans="1:9">
      <c r="A2" s="89" t="s">
        <v>370</v>
      </c>
      <c r="B2" s="89" t="s">
        <v>65</v>
      </c>
      <c r="C2" s="89" t="str">
        <f>IFERROR(VLOOKUP(B46,Lists!$A$2:$B$200,2,FALSE()),"Europe")</f>
        <v>Europe</v>
      </c>
      <c r="D2" s="89" t="s">
        <v>746</v>
      </c>
      <c r="E2" s="89" t="s">
        <v>748</v>
      </c>
      <c r="F2" s="89">
        <f>IFERROR((G46*Assumptions!$B$5 + H46*Assumptions!$B$6 + I46*Assumptions!$B$7 + J46*Assumptions!$B$8 + K46*Assumptions!$B$9 + L46*Assumptions!$B$10),"" )</f>
        <v>0</v>
      </c>
      <c r="G2" s="89" t="str">
        <f>IF(M46="","",IF(M46&gt;=Assumptions!$B$14,"Tier 1",IF(M46&gt;=Assumptions!$B$15,"Tier 2",IF(M46&gt;=Assumptions!$B$16,"Tier 3","Tier 4"))))</f>
        <v/>
      </c>
      <c r="H2" s="89" t="s">
        <v>1259</v>
      </c>
      <c r="I2" s="89" t="s">
        <v>1260</v>
      </c>
    </row>
    <row r="3" spans="1:9">
      <c r="A3" s="89" t="s">
        <v>801</v>
      </c>
      <c r="B3" s="89" t="s">
        <v>53</v>
      </c>
      <c r="C3" s="89" t="s">
        <v>802</v>
      </c>
      <c r="D3" s="89" t="s">
        <v>803</v>
      </c>
      <c r="E3" s="89" t="s">
        <v>805</v>
      </c>
      <c r="F3" s="89">
        <v>4.25</v>
      </c>
      <c r="G3" s="89" t="s">
        <v>806</v>
      </c>
      <c r="H3" s="89" t="s">
        <v>1261</v>
      </c>
      <c r="I3" s="89" t="s">
        <v>1262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204f4a-301c-4af0-8aaa-6253c5969d69">Pending</Status>
    <TaxCatchAll xmlns="bde0c32b-ecf6-48d1-ae1a-55ac8cbe985b" xsi:nil="true"/>
    <Owner xmlns="48204f4a-301c-4af0-8aaa-6253c5969d69">
      <UserInfo>
        <DisplayName/>
        <AccountId xsi:nil="true"/>
        <AccountType/>
      </UserInfo>
    </Owner>
    <lcf76f155ced4ddcb4097134ff3c332f xmlns="48204f4a-301c-4af0-8aaa-6253c5969d6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53827DA1C6B47B53636FDD4F722BE" ma:contentTypeVersion="21" ma:contentTypeDescription="Een nieuw document maken." ma:contentTypeScope="" ma:versionID="9bc97d6c26376ee447ba3951372fe853">
  <xsd:schema xmlns:xsd="http://www.w3.org/2001/XMLSchema" xmlns:xs="http://www.w3.org/2001/XMLSchema" xmlns:p="http://schemas.microsoft.com/office/2006/metadata/properties" xmlns:ns2="48204f4a-301c-4af0-8aaa-6253c5969d69" xmlns:ns3="bde0c32b-ecf6-48d1-ae1a-55ac8cbe985b" targetNamespace="http://schemas.microsoft.com/office/2006/metadata/properties" ma:root="true" ma:fieldsID="2a18509eec441dd522561cf967ad27be" ns2:_="" ns3:_="">
    <xsd:import namespace="48204f4a-301c-4af0-8aaa-6253c5969d69"/>
    <xsd:import namespace="bde0c32b-ecf6-48d1-ae1a-55ac8cbe98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Owne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04f4a-301c-4af0-8aaa-6253c5969d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90cc2f04-9653-4af5-ba53-a4a0bf83e0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fault="Pending" ma:format="Dropdown" ma:internalName="Status">
      <xsd:simpleType>
        <xsd:restriction base="dms:Choice">
          <xsd:enumeration value="In Progress"/>
          <xsd:enumeration value="Complete"/>
          <xsd:enumeration value="Pending"/>
        </xsd:restriction>
      </xsd:simpleType>
    </xsd:element>
    <xsd:element name="Owner" ma:index="27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e0c32b-ecf6-48d1-ae1a-55ac8cbe985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bfd1158-f9db-411e-bd75-675f44fbe727}" ma:internalName="TaxCatchAll" ma:showField="CatchAllData" ma:web="bde0c32b-ecf6-48d1-ae1a-55ac8cbe98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20CCD5-518F-4A1E-8584-16F69CF37BBE}"/>
</file>

<file path=customXml/itemProps2.xml><?xml version="1.0" encoding="utf-8"?>
<ds:datastoreItem xmlns:ds="http://schemas.openxmlformats.org/officeDocument/2006/customXml" ds:itemID="{AB57D98A-B8DA-4CE5-A029-FDF4B42764D7}"/>
</file>

<file path=customXml/itemProps3.xml><?xml version="1.0" encoding="utf-8"?>
<ds:datastoreItem xmlns:ds="http://schemas.openxmlformats.org/officeDocument/2006/customXml" ds:itemID="{BA4007E8-9233-47BA-A454-5A33330AA8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2026-01-21T09:32:20Z</dcterms:created>
  <dcterms:modified xsi:type="dcterms:W3CDTF">2026-03-17T11:40:19Z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0x01010021653827DA1C6B47B53636FDD4F722BE</vt:lpwstr>
  </property>
  <property fmtid="{D5CDD505-2E9C-101B-9397-08002B2CF9AE}" pid="3" name="MediaServiceImageTags">
    <vt:lpwstr/>
  </property>
  <property fmtid="{D5CDD505-2E9C-101B-9397-08002B2CF9AE}" pid="4" name="Order">
    <vt:r8>5700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